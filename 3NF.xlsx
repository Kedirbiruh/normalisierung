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dirBiruh\Desktop\Datenbank\normalisierung\"/>
    </mc:Choice>
  </mc:AlternateContent>
  <xr:revisionPtr revIDLastSave="0" documentId="13_ncr:1_{27B78FE4-6427-491A-B562-E6A6270B70C5}" xr6:coauthVersionLast="47" xr6:coauthVersionMax="47" xr10:uidLastSave="{00000000-0000-0000-0000-000000000000}"/>
  <bookViews>
    <workbookView xWindow="-120" yWindow="-120" windowWidth="38640" windowHeight="21120" activeTab="6" xr2:uid="{4E33EA83-0576-4B84-9E67-A012B75C64C1}"/>
  </bookViews>
  <sheets>
    <sheet name="UF" sheetId="3" r:id="rId1"/>
    <sheet name="1NF" sheetId="2" r:id="rId2"/>
    <sheet name="2NF" sheetId="4" r:id="rId3"/>
    <sheet name="3NF" sheetId="5" r:id="rId4"/>
    <sheet name="Kunden" sheetId="6" r:id="rId5"/>
    <sheet name="Produkte" sheetId="7" r:id="rId6"/>
    <sheet name="Bestellungen" sheetId="8" r:id="rId7"/>
    <sheet name="Bestellpositionen" sheetId="9" r:id="rId8"/>
    <sheet name="Städte" sheetId="10" r:id="rId9"/>
    <sheet name="Hersteller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2" i="9" l="1"/>
  <c r="A33" i="9" s="1"/>
  <c r="A29" i="9"/>
  <c r="A26" i="9"/>
  <c r="A23" i="9"/>
  <c r="A18" i="9"/>
  <c r="A13" i="9"/>
  <c r="A14" i="9" s="1"/>
  <c r="A9" i="9"/>
  <c r="A6" i="9"/>
  <c r="A4" i="9"/>
  <c r="E33" i="2"/>
  <c r="E34" i="2" s="1"/>
  <c r="E30" i="2"/>
  <c r="E27" i="2"/>
  <c r="E24" i="2"/>
  <c r="E19" i="2"/>
  <c r="E15" i="2"/>
  <c r="E14" i="2"/>
  <c r="E10" i="2"/>
  <c r="E7" i="2"/>
  <c r="E5" i="2"/>
  <c r="D33" i="2"/>
  <c r="D34" i="2" s="1"/>
  <c r="D30" i="2"/>
  <c r="D27" i="2"/>
  <c r="D24" i="2"/>
  <c r="D19" i="2"/>
  <c r="D15" i="2"/>
  <c r="D14" i="2"/>
  <c r="D10" i="2"/>
  <c r="D7" i="2"/>
  <c r="D5" i="2"/>
  <c r="R32" i="5"/>
  <c r="R33" i="5" s="1"/>
  <c r="R29" i="5"/>
  <c r="R26" i="5"/>
  <c r="R23" i="5"/>
  <c r="R18" i="5"/>
  <c r="R13" i="5"/>
  <c r="R14" i="5" s="1"/>
  <c r="R9" i="5"/>
  <c r="R6" i="5"/>
  <c r="R4" i="5"/>
  <c r="S32" i="4"/>
  <c r="S33" i="4" s="1"/>
  <c r="S29" i="4"/>
  <c r="S26" i="4"/>
  <c r="S23" i="4"/>
  <c r="S18" i="4"/>
  <c r="S13" i="4"/>
  <c r="S14" i="4" s="1"/>
  <c r="S9" i="4"/>
  <c r="S6" i="4"/>
  <c r="S4" i="4"/>
  <c r="H5" i="2"/>
  <c r="H7" i="2"/>
  <c r="H10" i="2"/>
  <c r="H14" i="2"/>
  <c r="H15" i="2" s="1"/>
  <c r="H19" i="2"/>
  <c r="H24" i="2"/>
  <c r="H27" i="2"/>
  <c r="H30" i="2"/>
  <c r="H33" i="2"/>
  <c r="H34" i="2" s="1"/>
  <c r="G5" i="2"/>
  <c r="G7" i="2"/>
  <c r="G10" i="2"/>
  <c r="G14" i="2"/>
  <c r="G15" i="2" s="1"/>
  <c r="G19" i="2"/>
  <c r="G24" i="2"/>
  <c r="G27" i="2"/>
  <c r="G30" i="2"/>
  <c r="G33" i="2"/>
  <c r="G34" i="2" s="1"/>
  <c r="P5" i="2"/>
  <c r="P7" i="2"/>
  <c r="P10" i="2"/>
  <c r="P14" i="2"/>
  <c r="P15" i="2" s="1"/>
  <c r="P19" i="2"/>
  <c r="P24" i="2"/>
  <c r="P27" i="2"/>
  <c r="P30" i="2"/>
  <c r="P33" i="2"/>
  <c r="P34" i="2" s="1"/>
  <c r="O5" i="2"/>
  <c r="O7" i="2"/>
  <c r="O10" i="2"/>
  <c r="O14" i="2"/>
  <c r="O15" i="2"/>
  <c r="O19" i="2"/>
  <c r="O24" i="2"/>
  <c r="O27" i="2"/>
  <c r="O30" i="2"/>
  <c r="O33" i="2"/>
  <c r="O34" i="2" s="1"/>
  <c r="F5" i="2"/>
  <c r="F7" i="2"/>
  <c r="F10" i="2"/>
  <c r="F14" i="2"/>
  <c r="F15" i="2" s="1"/>
  <c r="F19" i="2"/>
  <c r="F24" i="2"/>
  <c r="F27" i="2"/>
  <c r="F30" i="2"/>
  <c r="F33" i="2"/>
  <c r="F34" i="2" s="1"/>
  <c r="C5" i="2"/>
  <c r="C7" i="2"/>
  <c r="C10" i="2"/>
  <c r="C14" i="2"/>
  <c r="C15" i="2" s="1"/>
  <c r="C19" i="2"/>
  <c r="C24" i="2"/>
  <c r="C27" i="2"/>
  <c r="C30" i="2"/>
  <c r="C33" i="2"/>
  <c r="C34" i="2" s="1"/>
  <c r="B5" i="2"/>
  <c r="B7" i="2"/>
  <c r="B10" i="2"/>
  <c r="B14" i="2"/>
  <c r="B15" i="2" s="1"/>
  <c r="B19" i="2"/>
  <c r="B24" i="2"/>
  <c r="B27" i="2"/>
  <c r="B30" i="2"/>
  <c r="B33" i="2"/>
  <c r="B34" i="2" s="1"/>
  <c r="A5" i="2"/>
  <c r="A7" i="2"/>
  <c r="A10" i="2"/>
  <c r="A14" i="2"/>
  <c r="A15" i="2" s="1"/>
  <c r="A19" i="2"/>
  <c r="A24" i="2"/>
  <c r="A27" i="2"/>
  <c r="A30" i="2"/>
  <c r="A33" i="2"/>
  <c r="A34" i="2"/>
</calcChain>
</file>

<file path=xl/sharedStrings.xml><?xml version="1.0" encoding="utf-8"?>
<sst xmlns="http://schemas.openxmlformats.org/spreadsheetml/2006/main" count="1097" uniqueCount="183">
  <si>
    <t>Unnormalisierte Bestelldaten</t>
  </si>
  <si>
    <t>Bestellnummer</t>
  </si>
  <si>
    <t>Bestelldatum</t>
  </si>
  <si>
    <t>Kundennummer</t>
  </si>
  <si>
    <t>Kundenname</t>
  </si>
  <si>
    <t>Kundenadresse</t>
  </si>
  <si>
    <t>Produktnummer</t>
  </si>
  <si>
    <t>Produktbezeichnung</t>
  </si>
  <si>
    <t>Menge</t>
  </si>
  <si>
    <t>Einzelpreis</t>
  </si>
  <si>
    <t>Hersteller</t>
  </si>
  <si>
    <t>Hersteller-Land</t>
  </si>
  <si>
    <t>Versandkosten</t>
  </si>
  <si>
    <t>Gesamtkosten</t>
  </si>
  <si>
    <t>K001</t>
  </si>
  <si>
    <t>Max Mustermann</t>
  </si>
  <si>
    <t>Musterstraße 1, 12345 Musterstadt, Deutschland</t>
  </si>
  <si>
    <t>P01</t>
  </si>
  <si>
    <t>Laptop Pro</t>
  </si>
  <si>
    <t>1200.00</t>
  </si>
  <si>
    <t>TechCorp</t>
  </si>
  <si>
    <t>USA</t>
  </si>
  <si>
    <t>1231.49</t>
  </si>
  <si>
    <t>P02</t>
  </si>
  <si>
    <t>Wireless Maus</t>
  </si>
  <si>
    <t>25.50</t>
  </si>
  <si>
    <t>Logi</t>
  </si>
  <si>
    <t>Schweiz</t>
  </si>
  <si>
    <t>K002</t>
  </si>
  <si>
    <t>Erika Mustermann</t>
  </si>
  <si>
    <t>Beispielweg 5, 54321 Beispielhausen, Deutschland</t>
  </si>
  <si>
    <t>1295.99</t>
  </si>
  <si>
    <t>P03</t>
  </si>
  <si>
    <t>USB-C Hub</t>
  </si>
  <si>
    <t>45.00</t>
  </si>
  <si>
    <t>ConnectIt</t>
  </si>
  <si>
    <t>China</t>
  </si>
  <si>
    <t>49.99</t>
  </si>
  <si>
    <t>K003</t>
  </si>
  <si>
    <t>Peter Meier</t>
  </si>
  <si>
    <t>Hauptplatz 10, 4020 Linz, Österreich</t>
  </si>
  <si>
    <t>P04</t>
  </si>
  <si>
    <t>Gaming PC</t>
  </si>
  <si>
    <t>2500.00</t>
  </si>
  <si>
    <t>GamerX</t>
  </si>
  <si>
    <t>Taiwan</t>
  </si>
  <si>
    <t>2662.99</t>
  </si>
  <si>
    <t>P05</t>
  </si>
  <si>
    <t>Mechanische Tastatur</t>
  </si>
  <si>
    <t>150.00</t>
  </si>
  <si>
    <t>K004</t>
  </si>
  <si>
    <t>Anna Schmidt</t>
  </si>
  <si>
    <t>Bahnhofstrasse 15, 8001 Zürich, Schweiz</t>
  </si>
  <si>
    <t>P06</t>
  </si>
  <si>
    <t>Monitor 27 Zoll</t>
  </si>
  <si>
    <t>350.00</t>
  </si>
  <si>
    <t>ViewSonic</t>
  </si>
  <si>
    <t>709.99</t>
  </si>
  <si>
    <t>30.49</t>
  </si>
  <si>
    <t>K005</t>
  </si>
  <si>
    <t>Lukas Weber</t>
  </si>
  <si>
    <t>Seestraße 8, 10117 Berlin, Deutschland</t>
  </si>
  <si>
    <t>P07</t>
  </si>
  <si>
    <t>Drucker</t>
  </si>
  <si>
    <t>180.00</t>
  </si>
  <si>
    <t>HP</t>
  </si>
  <si>
    <t>293.99</t>
  </si>
  <si>
    <t>P08</t>
  </si>
  <si>
    <t>Druckerpatronen</t>
  </si>
  <si>
    <t>30.00</t>
  </si>
  <si>
    <t>26.00</t>
  </si>
  <si>
    <t>359.99</t>
  </si>
  <si>
    <t>1209.99</t>
  </si>
  <si>
    <t>K006</t>
  </si>
  <si>
    <t>Sophie Müller</t>
  </si>
  <si>
    <t>Am Markt 7, 20095 Hamburg, Deutschland</t>
  </si>
  <si>
    <t>P09</t>
  </si>
  <si>
    <t>Webcam HD</t>
  </si>
  <si>
    <t>60.00</t>
  </si>
  <si>
    <t>159.99</t>
  </si>
  <si>
    <t>P10</t>
  </si>
  <si>
    <t>Externes Mikrofon</t>
  </si>
  <si>
    <t>95.00</t>
  </si>
  <si>
    <t>AudioPro</t>
  </si>
  <si>
    <t>Deutschland</t>
  </si>
  <si>
    <t>K007</t>
  </si>
  <si>
    <t>Jonas Fischer</t>
  </si>
  <si>
    <t>Rue du Rhône 1, 1204 Genf, Schweiz</t>
  </si>
  <si>
    <t>2550.00</t>
  </si>
  <si>
    <t>15.99</t>
  </si>
  <si>
    <t>2565.99</t>
  </si>
  <si>
    <t>155.00</t>
  </si>
  <si>
    <t>160.99</t>
  </si>
  <si>
    <t>99.99</t>
  </si>
  <si>
    <t>K008</t>
  </si>
  <si>
    <t>Maria Huber</t>
  </si>
  <si>
    <t>Mariahilfer Str. 5, 1060 Wien, Österreich</t>
  </si>
  <si>
    <t>119.99</t>
  </si>
  <si>
    <t>62.00</t>
  </si>
  <si>
    <t>67.99</t>
  </si>
  <si>
    <t>K009</t>
  </si>
  <si>
    <t>Stefan Bauer</t>
  </si>
  <si>
    <t>Schlossallee 42, 80539 München, Deutschland</t>
  </si>
  <si>
    <t>P11</t>
  </si>
  <si>
    <t>4K Monitor</t>
  </si>
  <si>
    <t>750.00</t>
  </si>
  <si>
    <t>Dell</t>
  </si>
  <si>
    <t>919.98</t>
  </si>
  <si>
    <t>P12</t>
  </si>
  <si>
    <t>Grafikkarte RTX 4070</t>
  </si>
  <si>
    <t>Nvidia</t>
  </si>
  <si>
    <t>K010</t>
  </si>
  <si>
    <t>Laura Keller</t>
  </si>
  <si>
    <t>Limmatquai 1, 8001 Zürich, Schweiz</t>
  </si>
  <si>
    <t>1250.00</t>
  </si>
  <si>
    <t>1259.99</t>
  </si>
  <si>
    <t>185.00</t>
  </si>
  <si>
    <t>222.99</t>
  </si>
  <si>
    <t>136.99</t>
  </si>
  <si>
    <t>Musterstraße 1</t>
  </si>
  <si>
    <t xml:space="preserve"> 12345 Musterstadt</t>
  </si>
  <si>
    <t xml:space="preserve"> Deutschland</t>
  </si>
  <si>
    <t>Beispielweg 5</t>
  </si>
  <si>
    <t xml:space="preserve"> 54321 Beispielhausen</t>
  </si>
  <si>
    <t>Hauptplatz 10</t>
  </si>
  <si>
    <t xml:space="preserve"> 4020 Linz</t>
  </si>
  <si>
    <t xml:space="preserve"> Österreich</t>
  </si>
  <si>
    <t>Bahnhofstrasse 15</t>
  </si>
  <si>
    <t xml:space="preserve"> 8001 Zürich</t>
  </si>
  <si>
    <t xml:space="preserve"> Schweiz</t>
  </si>
  <si>
    <t>Seestraße 8</t>
  </si>
  <si>
    <t xml:space="preserve"> 10117 Berlin</t>
  </si>
  <si>
    <t>Am Markt 7</t>
  </si>
  <si>
    <t xml:space="preserve"> 20095 Hamburg</t>
  </si>
  <si>
    <t>Rue du Rhône 1</t>
  </si>
  <si>
    <t xml:space="preserve"> 1204 Genf</t>
  </si>
  <si>
    <t>Mariahilfer Str. 5</t>
  </si>
  <si>
    <t xml:space="preserve"> 1060 Wien</t>
  </si>
  <si>
    <t>Schlossallee 42</t>
  </si>
  <si>
    <t xml:space="preserve"> 80539 München</t>
  </si>
  <si>
    <t>Limmatquai 1</t>
  </si>
  <si>
    <t>Stadt</t>
  </si>
  <si>
    <t>Land</t>
  </si>
  <si>
    <t>Kunden</t>
  </si>
  <si>
    <t>Produkte</t>
  </si>
  <si>
    <t>Bestellungen</t>
  </si>
  <si>
    <t>Bestellpositionen</t>
  </si>
  <si>
    <t>Kundennummer (PK)</t>
  </si>
  <si>
    <t>Produktnummer (PK)</t>
  </si>
  <si>
    <t>Hersteller (FK)</t>
  </si>
  <si>
    <t>Bestellnummer(PK)</t>
  </si>
  <si>
    <t>Hersteller (PK)</t>
  </si>
  <si>
    <t>Bestellnummer (PK)</t>
  </si>
  <si>
    <t>Herteller</t>
  </si>
  <si>
    <t xml:space="preserve">Stadt </t>
  </si>
  <si>
    <t>Stadt(FK)</t>
  </si>
  <si>
    <t xml:space="preserve">Land </t>
  </si>
  <si>
    <t>Stadt(PK)</t>
  </si>
  <si>
    <t>Städte</t>
  </si>
  <si>
    <t xml:space="preserve">Hersteller </t>
  </si>
  <si>
    <t>Kundennummer(FK)</t>
  </si>
  <si>
    <t>Max</t>
  </si>
  <si>
    <t>Mustermann</t>
  </si>
  <si>
    <t>Erika</t>
  </si>
  <si>
    <t>Peter</t>
  </si>
  <si>
    <t>Meier</t>
  </si>
  <si>
    <t>Anna</t>
  </si>
  <si>
    <t>Schmidt</t>
  </si>
  <si>
    <t>Lukas</t>
  </si>
  <si>
    <t>Weber</t>
  </si>
  <si>
    <t>Jonas</t>
  </si>
  <si>
    <t>Fischer</t>
  </si>
  <si>
    <t>Maria</t>
  </si>
  <si>
    <t>Huber</t>
  </si>
  <si>
    <t>Laura</t>
  </si>
  <si>
    <t>Keller</t>
  </si>
  <si>
    <t>Sophie</t>
  </si>
  <si>
    <t>Müller</t>
  </si>
  <si>
    <t>Stefan</t>
  </si>
  <si>
    <t>Bauer</t>
  </si>
  <si>
    <t>Vorname</t>
  </si>
  <si>
    <t>Name</t>
  </si>
  <si>
    <t>Produktnummer(PK)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</si>
</sst>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7" fontId="0" fillId="0" borderId="0" xfId="0" applyNumberFormat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4" fontId="0" fillId="3" borderId="2" xfId="0" applyNumberFormat="1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2" borderId="2" xfId="0" applyFont="1" applyFill="1" applyBorder="1"/>
    <xf numFmtId="165" fontId="4" fillId="0" borderId="0" xfId="0" applyNumberFormat="1" applyFont="1"/>
    <xf numFmtId="165" fontId="1" fillId="2" borderId="2" xfId="0" applyNumberFormat="1" applyFont="1" applyFill="1" applyBorder="1" applyAlignment="1">
      <alignment horizontal="center"/>
    </xf>
    <xf numFmtId="165" fontId="0" fillId="3" borderId="2" xfId="0" applyNumberFormat="1" applyFont="1" applyFill="1" applyBorder="1" applyAlignment="1">
      <alignment horizontal="center"/>
    </xf>
    <xf numFmtId="165" fontId="0" fillId="0" borderId="2" xfId="0" applyNumberFormat="1" applyFont="1" applyBorder="1" applyAlignment="1">
      <alignment horizontal="center"/>
    </xf>
    <xf numFmtId="165" fontId="0" fillId="0" borderId="0" xfId="0" applyNumberFormat="1"/>
  </cellXfs>
  <cellStyles count="1">
    <cellStyle name="Standard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D5F3E7-B9BC-4CF9-B8B8-7B6AE251D36E}" name="Tabelle27" displayName="Tabelle27" ref="A3:M34" totalsRowShown="0">
  <autoFilter ref="A3:M34" xr:uid="{51D5F3E7-B9BC-4CF9-B8B8-7B6AE251D36E}"/>
  <tableColumns count="13">
    <tableColumn id="1" xr3:uid="{7ACF0C1F-7280-477A-B891-6ED9D2D2D648}" name="Bestellnummer"/>
    <tableColumn id="2" xr3:uid="{85426B84-F8BA-408E-8998-B3E69E1A359E}" name="Bestelldatum"/>
    <tableColumn id="3" xr3:uid="{27FA5054-806C-45FC-947E-63FEF95207B5}" name="Kundennummer" dataDxfId="7"/>
    <tableColumn id="4" xr3:uid="{B07DDB55-B6D3-4632-93B7-B06215F6A3AE}" name="Kundenname"/>
    <tableColumn id="5" xr3:uid="{04692A3D-17A6-4312-B175-8B6AF0507C64}" name="Kundenadresse"/>
    <tableColumn id="6" xr3:uid="{9B65EF93-5953-47E1-82C1-E27BF3132E4B}" name="Produktnummer"/>
    <tableColumn id="7" xr3:uid="{A97D75F7-2DC0-41CA-B512-F19F4AFBDD8F}" name="Produktbezeichnung"/>
    <tableColumn id="8" xr3:uid="{8559B2B4-1CA1-4985-A05E-E2740D123FAA}" name="Menge"/>
    <tableColumn id="9" xr3:uid="{840CC13B-1A3B-4DFB-BDD9-AD48C82E3A55}" name="Einzelpreis"/>
    <tableColumn id="10" xr3:uid="{FC15F428-744E-4A11-B143-89C13753DBF0}" name="Hersteller"/>
    <tableColumn id="11" xr3:uid="{9490C26D-DB6E-469C-862A-BB8A33F6CEE2}" name="Hersteller-Land"/>
    <tableColumn id="12" xr3:uid="{36D962FE-846A-40AE-9B7E-AEAF97B8FB21}" name="Versandkosten"/>
    <tableColumn id="13" xr3:uid="{E48A7C7F-F775-408E-B56B-C2C0CCABE2DE}" name="Gesamtkost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B387534-E8E5-4437-A43C-32930B2982A5}" name="Tabelle2" displayName="Tabelle2" ref="A3:P34" totalsRowShown="0">
  <autoFilter ref="A3:P34" xr:uid="{DB387534-E8E5-4437-A43C-32930B2982A5}"/>
  <tableColumns count="16">
    <tableColumn id="1" xr3:uid="{AD99E92B-AE21-4835-A957-73F96074A62F}" name="Bestellnummer" dataDxfId="6"/>
    <tableColumn id="2" xr3:uid="{7D94B3E4-EEEF-44AD-BB7F-A855975D2A69}" name="Bestelldatum" dataDxfId="5"/>
    <tableColumn id="3" xr3:uid="{BEF196E9-6F05-4D61-9BE3-A4E2EDFA5FBC}" name="Kundennummer" dataDxfId="4"/>
    <tableColumn id="4" xr3:uid="{B9D9127C-E941-4FB2-8C66-D0D852906DF6}" name="Vorname"/>
    <tableColumn id="17" xr3:uid="{E428EF16-DD71-4CFB-92FB-75F341C01524}" name="Name"/>
    <tableColumn id="5" xr3:uid="{04026C3B-C4B9-4A3A-987C-B1917D566E24}" name="Kundenadresse"/>
    <tableColumn id="6" xr3:uid="{7D0692B1-EFD0-4D0F-A21B-202CCCAA0AD9}" name="Stadt"/>
    <tableColumn id="7" xr3:uid="{298C570F-6250-41AD-AD88-7278506F5C38}" name="Land" dataDxfId="3"/>
    <tableColumn id="16" xr3:uid="{F732D191-897F-4CC0-B548-699528113AC6}" name="Produktnummer" dataDxfId="2"/>
    <tableColumn id="15" xr3:uid="{90457CDD-1711-4EF6-8191-5C8287350906}" name="Produktbezeichnung" dataDxfId="1"/>
    <tableColumn id="8" xr3:uid="{106F3A28-7C09-464E-9D9E-F0085C130E75}" name="Menge" dataDxfId="0"/>
    <tableColumn id="9" xr3:uid="{D3551ECD-BB65-42DF-9E82-7B4A204EF777}" name="Einzelpreis"/>
    <tableColumn id="10" xr3:uid="{08E5A5E3-0383-4033-9A83-9C6E8C3DB01E}" name="Hersteller"/>
    <tableColumn id="11" xr3:uid="{8F91C934-95C4-4947-A210-52EBF82634F7}" name="Hersteller-Land"/>
    <tableColumn id="12" xr3:uid="{65CF0691-5847-4B4E-916A-5FA1D5CDF3A4}" name="Versandkosten"/>
    <tableColumn id="13" xr3:uid="{F3530197-EA8F-4CCA-81CC-0ECF878DC93D}" name="Gesamtkost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FD84C-181F-4EE1-89DE-AF2361863829}">
  <dimension ref="A1:M34"/>
  <sheetViews>
    <sheetView zoomScale="120" zoomScaleNormal="120" workbookViewId="0">
      <selection activeCell="E45" sqref="E45"/>
    </sheetView>
  </sheetViews>
  <sheetFormatPr baseColWidth="10" defaultRowHeight="15" x14ac:dyDescent="0.25"/>
  <cols>
    <col min="1" max="1" width="27.7109375" bestFit="1" customWidth="1"/>
    <col min="2" max="2" width="15.140625" bestFit="1" customWidth="1"/>
    <col min="3" max="3" width="17.7109375" style="10" bestFit="1" customWidth="1"/>
    <col min="4" max="4" width="17.140625" bestFit="1" customWidth="1"/>
    <col min="5" max="5" width="46.140625" bestFit="1" customWidth="1"/>
    <col min="6" max="6" width="18" bestFit="1" customWidth="1"/>
    <col min="7" max="7" width="21.85546875" bestFit="1" customWidth="1"/>
    <col min="8" max="8" width="11.7109375" customWidth="1"/>
    <col min="9" max="9" width="13" bestFit="1" customWidth="1"/>
    <col min="10" max="10" width="12.140625" bestFit="1" customWidth="1"/>
    <col min="11" max="11" width="17" bestFit="1" customWidth="1"/>
    <col min="12" max="12" width="16.5703125" bestFit="1" customWidth="1"/>
    <col min="13" max="13" width="16.140625" bestFit="1" customWidth="1"/>
  </cols>
  <sheetData>
    <row r="1" spans="1:13" s="8" customFormat="1" ht="24" customHeight="1" x14ac:dyDescent="0.3">
      <c r="A1" s="7" t="s">
        <v>0</v>
      </c>
      <c r="C1" s="9"/>
    </row>
    <row r="3" spans="1:13" x14ac:dyDescent="0.25">
      <c r="A3" t="s">
        <v>1</v>
      </c>
      <c r="B3" t="s">
        <v>2</v>
      </c>
      <c r="C3" s="10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 x14ac:dyDescent="0.25">
      <c r="A4">
        <v>1001</v>
      </c>
      <c r="B4" s="1">
        <v>45672</v>
      </c>
      <c r="C4" s="10" t="s">
        <v>14</v>
      </c>
      <c r="D4" t="s">
        <v>15</v>
      </c>
      <c r="E4" t="s">
        <v>16</v>
      </c>
      <c r="F4" t="s">
        <v>17</v>
      </c>
      <c r="G4" t="s">
        <v>18</v>
      </c>
      <c r="H4">
        <v>1</v>
      </c>
      <c r="I4" t="s">
        <v>19</v>
      </c>
      <c r="J4" t="s">
        <v>20</v>
      </c>
      <c r="K4" t="s">
        <v>21</v>
      </c>
      <c r="L4" s="2">
        <v>36281</v>
      </c>
      <c r="M4" t="s">
        <v>22</v>
      </c>
    </row>
    <row r="5" spans="1:13" x14ac:dyDescent="0.25">
      <c r="F5" t="s">
        <v>23</v>
      </c>
      <c r="G5" t="s">
        <v>24</v>
      </c>
      <c r="H5">
        <v>1</v>
      </c>
      <c r="I5" t="s">
        <v>25</v>
      </c>
      <c r="J5" t="s">
        <v>26</v>
      </c>
      <c r="K5" t="s">
        <v>27</v>
      </c>
    </row>
    <row r="6" spans="1:13" x14ac:dyDescent="0.25">
      <c r="A6">
        <v>1002</v>
      </c>
      <c r="B6" s="1">
        <v>45673</v>
      </c>
      <c r="C6" s="10" t="s">
        <v>28</v>
      </c>
      <c r="D6" t="s">
        <v>29</v>
      </c>
      <c r="E6" t="s">
        <v>30</v>
      </c>
      <c r="F6" t="s">
        <v>17</v>
      </c>
      <c r="G6" t="s">
        <v>18</v>
      </c>
      <c r="H6">
        <v>1</v>
      </c>
      <c r="I6" t="s">
        <v>19</v>
      </c>
      <c r="J6" t="s">
        <v>20</v>
      </c>
      <c r="K6" t="s">
        <v>21</v>
      </c>
      <c r="L6" s="2">
        <v>36281</v>
      </c>
      <c r="M6" t="s">
        <v>31</v>
      </c>
    </row>
    <row r="7" spans="1:13" x14ac:dyDescent="0.25">
      <c r="F7" t="s">
        <v>32</v>
      </c>
      <c r="G7" t="s">
        <v>33</v>
      </c>
      <c r="H7">
        <v>2</v>
      </c>
      <c r="I7" t="s">
        <v>34</v>
      </c>
      <c r="J7" t="s">
        <v>35</v>
      </c>
      <c r="K7" t="s">
        <v>36</v>
      </c>
    </row>
    <row r="8" spans="1:13" x14ac:dyDescent="0.25">
      <c r="A8">
        <v>1003</v>
      </c>
      <c r="B8" s="1">
        <v>45674</v>
      </c>
      <c r="C8" s="10" t="s">
        <v>14</v>
      </c>
      <c r="D8" t="s">
        <v>15</v>
      </c>
      <c r="E8" t="s">
        <v>16</v>
      </c>
      <c r="F8" t="s">
        <v>32</v>
      </c>
      <c r="G8" t="s">
        <v>33</v>
      </c>
      <c r="H8">
        <v>1</v>
      </c>
      <c r="I8" t="s">
        <v>34</v>
      </c>
      <c r="J8" t="s">
        <v>35</v>
      </c>
      <c r="K8" t="s">
        <v>36</v>
      </c>
      <c r="L8" s="2">
        <v>36251</v>
      </c>
      <c r="M8" t="s">
        <v>37</v>
      </c>
    </row>
    <row r="9" spans="1:13" x14ac:dyDescent="0.25">
      <c r="A9">
        <v>1004</v>
      </c>
      <c r="B9" s="1">
        <v>45675</v>
      </c>
      <c r="C9" s="10" t="s">
        <v>38</v>
      </c>
      <c r="D9" t="s">
        <v>39</v>
      </c>
      <c r="E9" t="s">
        <v>40</v>
      </c>
      <c r="F9" t="s">
        <v>41</v>
      </c>
      <c r="G9" t="s">
        <v>42</v>
      </c>
      <c r="H9">
        <v>1</v>
      </c>
      <c r="I9" t="s">
        <v>43</v>
      </c>
      <c r="J9" t="s">
        <v>44</v>
      </c>
      <c r="K9" t="s">
        <v>45</v>
      </c>
      <c r="L9" s="2">
        <v>36495</v>
      </c>
      <c r="M9" t="s">
        <v>46</v>
      </c>
    </row>
    <row r="10" spans="1:13" x14ac:dyDescent="0.25">
      <c r="F10" t="s">
        <v>47</v>
      </c>
      <c r="G10" t="s">
        <v>48</v>
      </c>
      <c r="H10">
        <v>1</v>
      </c>
      <c r="I10" t="s">
        <v>49</v>
      </c>
      <c r="J10" t="s">
        <v>44</v>
      </c>
      <c r="K10" t="s">
        <v>45</v>
      </c>
    </row>
    <row r="11" spans="1:13" x14ac:dyDescent="0.25">
      <c r="A11">
        <v>1005</v>
      </c>
      <c r="B11" s="1">
        <v>45676</v>
      </c>
      <c r="C11" s="10" t="s">
        <v>50</v>
      </c>
      <c r="D11" t="s">
        <v>51</v>
      </c>
      <c r="E11" t="s">
        <v>52</v>
      </c>
      <c r="F11" t="s">
        <v>53</v>
      </c>
      <c r="G11" t="s">
        <v>54</v>
      </c>
      <c r="H11">
        <v>2</v>
      </c>
      <c r="I11" t="s">
        <v>55</v>
      </c>
      <c r="J11" t="s">
        <v>56</v>
      </c>
      <c r="K11" t="s">
        <v>21</v>
      </c>
      <c r="L11" s="2">
        <v>36404</v>
      </c>
      <c r="M11" t="s">
        <v>57</v>
      </c>
    </row>
    <row r="12" spans="1:13" x14ac:dyDescent="0.25">
      <c r="A12">
        <v>1006</v>
      </c>
      <c r="B12" s="1">
        <v>45677</v>
      </c>
      <c r="C12" s="10" t="s">
        <v>28</v>
      </c>
      <c r="D12" t="s">
        <v>29</v>
      </c>
      <c r="E12" t="s">
        <v>30</v>
      </c>
      <c r="F12" t="s">
        <v>23</v>
      </c>
      <c r="G12" t="s">
        <v>24</v>
      </c>
      <c r="H12">
        <v>1</v>
      </c>
      <c r="I12" t="s">
        <v>25</v>
      </c>
      <c r="J12" t="s">
        <v>26</v>
      </c>
      <c r="K12" t="s">
        <v>27</v>
      </c>
      <c r="L12" s="2">
        <v>36251</v>
      </c>
      <c r="M12" t="s">
        <v>58</v>
      </c>
    </row>
    <row r="13" spans="1:13" x14ac:dyDescent="0.25">
      <c r="A13">
        <v>1007</v>
      </c>
      <c r="B13" s="1">
        <v>45678</v>
      </c>
      <c r="C13" s="10" t="s">
        <v>59</v>
      </c>
      <c r="D13" t="s">
        <v>60</v>
      </c>
      <c r="E13" t="s">
        <v>61</v>
      </c>
      <c r="F13" t="s">
        <v>62</v>
      </c>
      <c r="G13" t="s">
        <v>63</v>
      </c>
      <c r="H13">
        <v>1</v>
      </c>
      <c r="I13" t="s">
        <v>64</v>
      </c>
      <c r="J13" t="s">
        <v>65</v>
      </c>
      <c r="K13" t="s">
        <v>21</v>
      </c>
      <c r="L13" s="2">
        <v>36342</v>
      </c>
      <c r="M13" t="s">
        <v>66</v>
      </c>
    </row>
    <row r="14" spans="1:13" x14ac:dyDescent="0.25">
      <c r="F14" t="s">
        <v>67</v>
      </c>
      <c r="G14" t="s">
        <v>68</v>
      </c>
      <c r="H14">
        <v>3</v>
      </c>
      <c r="I14" t="s">
        <v>69</v>
      </c>
      <c r="J14" t="s">
        <v>65</v>
      </c>
      <c r="K14" t="s">
        <v>21</v>
      </c>
    </row>
    <row r="15" spans="1:13" x14ac:dyDescent="0.25">
      <c r="F15" t="s">
        <v>23</v>
      </c>
      <c r="G15" t="s">
        <v>24</v>
      </c>
      <c r="H15">
        <v>1</v>
      </c>
      <c r="I15" t="s">
        <v>70</v>
      </c>
      <c r="J15" t="s">
        <v>26</v>
      </c>
      <c r="K15" t="s">
        <v>27</v>
      </c>
    </row>
    <row r="16" spans="1:13" x14ac:dyDescent="0.25">
      <c r="A16">
        <v>1008</v>
      </c>
      <c r="B16" s="1">
        <v>45689</v>
      </c>
      <c r="C16" s="10" t="s">
        <v>14</v>
      </c>
      <c r="D16" t="s">
        <v>15</v>
      </c>
      <c r="E16" t="s">
        <v>16</v>
      </c>
      <c r="F16" t="s">
        <v>53</v>
      </c>
      <c r="G16" t="s">
        <v>54</v>
      </c>
      <c r="H16">
        <v>1</v>
      </c>
      <c r="I16" t="s">
        <v>55</v>
      </c>
      <c r="J16" t="s">
        <v>56</v>
      </c>
      <c r="K16" t="s">
        <v>21</v>
      </c>
      <c r="L16" s="2">
        <v>36404</v>
      </c>
      <c r="M16" t="s">
        <v>71</v>
      </c>
    </row>
    <row r="17" spans="1:13" x14ac:dyDescent="0.25">
      <c r="A17">
        <v>1009</v>
      </c>
      <c r="B17" s="1">
        <v>45690</v>
      </c>
      <c r="C17" s="10" t="s">
        <v>38</v>
      </c>
      <c r="D17" t="s">
        <v>39</v>
      </c>
      <c r="E17" t="s">
        <v>40</v>
      </c>
      <c r="F17" t="s">
        <v>17</v>
      </c>
      <c r="G17" t="s">
        <v>18</v>
      </c>
      <c r="H17">
        <v>1</v>
      </c>
      <c r="I17" t="s">
        <v>19</v>
      </c>
      <c r="J17" t="s">
        <v>20</v>
      </c>
      <c r="K17" t="s">
        <v>21</v>
      </c>
      <c r="L17" s="2">
        <v>36404</v>
      </c>
      <c r="M17" t="s">
        <v>72</v>
      </c>
    </row>
    <row r="18" spans="1:13" x14ac:dyDescent="0.25">
      <c r="A18">
        <v>1010</v>
      </c>
      <c r="B18" s="1">
        <v>45691</v>
      </c>
      <c r="C18" s="10" t="s">
        <v>73</v>
      </c>
      <c r="D18" t="s">
        <v>74</v>
      </c>
      <c r="E18" t="s">
        <v>75</v>
      </c>
      <c r="F18" t="s">
        <v>76</v>
      </c>
      <c r="G18" t="s">
        <v>77</v>
      </c>
      <c r="H18">
        <v>1</v>
      </c>
      <c r="I18" t="s">
        <v>78</v>
      </c>
      <c r="J18" t="s">
        <v>26</v>
      </c>
      <c r="K18" t="s">
        <v>27</v>
      </c>
      <c r="L18" s="2">
        <v>36251</v>
      </c>
      <c r="M18" t="s">
        <v>79</v>
      </c>
    </row>
    <row r="19" spans="1:13" x14ac:dyDescent="0.25">
      <c r="F19" t="s">
        <v>80</v>
      </c>
      <c r="G19" t="s">
        <v>81</v>
      </c>
      <c r="H19">
        <v>1</v>
      </c>
      <c r="I19" t="s">
        <v>82</v>
      </c>
      <c r="J19" t="s">
        <v>83</v>
      </c>
      <c r="K19" t="s">
        <v>84</v>
      </c>
    </row>
    <row r="20" spans="1:13" x14ac:dyDescent="0.25">
      <c r="A20">
        <v>1011</v>
      </c>
      <c r="B20" s="1">
        <v>45692</v>
      </c>
      <c r="C20" s="10" t="s">
        <v>85</v>
      </c>
      <c r="D20" t="s">
        <v>86</v>
      </c>
      <c r="E20" t="s">
        <v>87</v>
      </c>
      <c r="F20" t="s">
        <v>41</v>
      </c>
      <c r="G20" t="s">
        <v>42</v>
      </c>
      <c r="H20">
        <v>1</v>
      </c>
      <c r="I20" t="s">
        <v>88</v>
      </c>
      <c r="J20" t="s">
        <v>44</v>
      </c>
      <c r="K20" t="s">
        <v>45</v>
      </c>
      <c r="L20" t="s">
        <v>89</v>
      </c>
      <c r="M20" t="s">
        <v>90</v>
      </c>
    </row>
    <row r="21" spans="1:13" x14ac:dyDescent="0.25">
      <c r="A21">
        <v>1012</v>
      </c>
      <c r="B21" s="1">
        <v>45693</v>
      </c>
      <c r="C21" s="10" t="s">
        <v>59</v>
      </c>
      <c r="D21" t="s">
        <v>60</v>
      </c>
      <c r="E21" t="s">
        <v>61</v>
      </c>
      <c r="F21" t="s">
        <v>47</v>
      </c>
      <c r="G21" t="s">
        <v>48</v>
      </c>
      <c r="H21">
        <v>1</v>
      </c>
      <c r="I21" t="s">
        <v>91</v>
      </c>
      <c r="J21" t="s">
        <v>44</v>
      </c>
      <c r="K21" t="s">
        <v>45</v>
      </c>
      <c r="L21" s="2">
        <v>36281</v>
      </c>
      <c r="M21" t="s">
        <v>92</v>
      </c>
    </row>
    <row r="22" spans="1:13" x14ac:dyDescent="0.25">
      <c r="A22">
        <v>1013</v>
      </c>
      <c r="B22" s="1">
        <v>45694</v>
      </c>
      <c r="C22" s="10" t="s">
        <v>28</v>
      </c>
      <c r="D22" t="s">
        <v>29</v>
      </c>
      <c r="E22" t="s">
        <v>30</v>
      </c>
      <c r="F22" t="s">
        <v>80</v>
      </c>
      <c r="G22" t="s">
        <v>81</v>
      </c>
      <c r="H22">
        <v>1</v>
      </c>
      <c r="I22" t="s">
        <v>82</v>
      </c>
      <c r="J22" t="s">
        <v>83</v>
      </c>
      <c r="K22" t="s">
        <v>84</v>
      </c>
      <c r="L22" s="2">
        <v>36251</v>
      </c>
      <c r="M22" t="s">
        <v>93</v>
      </c>
    </row>
    <row r="23" spans="1:13" x14ac:dyDescent="0.25">
      <c r="A23">
        <v>1014</v>
      </c>
      <c r="B23" s="1">
        <v>45695</v>
      </c>
      <c r="C23" s="10" t="s">
        <v>94</v>
      </c>
      <c r="D23" t="s">
        <v>95</v>
      </c>
      <c r="E23" t="s">
        <v>96</v>
      </c>
      <c r="F23" t="s">
        <v>23</v>
      </c>
      <c r="G23" t="s">
        <v>24</v>
      </c>
      <c r="H23">
        <v>2</v>
      </c>
      <c r="I23" t="s">
        <v>70</v>
      </c>
      <c r="J23" t="s">
        <v>26</v>
      </c>
      <c r="K23" t="s">
        <v>27</v>
      </c>
      <c r="L23" s="2">
        <v>36281</v>
      </c>
      <c r="M23" t="s">
        <v>97</v>
      </c>
    </row>
    <row r="24" spans="1:13" x14ac:dyDescent="0.25">
      <c r="F24" t="s">
        <v>76</v>
      </c>
      <c r="G24" t="s">
        <v>77</v>
      </c>
      <c r="H24">
        <v>1</v>
      </c>
      <c r="I24" t="s">
        <v>98</v>
      </c>
      <c r="J24" t="s">
        <v>26</v>
      </c>
      <c r="K24" t="s">
        <v>27</v>
      </c>
    </row>
    <row r="25" spans="1:13" x14ac:dyDescent="0.25">
      <c r="A25">
        <v>1015</v>
      </c>
      <c r="B25" s="1">
        <v>45696</v>
      </c>
      <c r="C25" s="10" t="s">
        <v>94</v>
      </c>
      <c r="D25" t="s">
        <v>95</v>
      </c>
      <c r="E25" t="s">
        <v>96</v>
      </c>
      <c r="F25" t="s">
        <v>76</v>
      </c>
      <c r="G25" t="s">
        <v>77</v>
      </c>
      <c r="H25">
        <v>1</v>
      </c>
      <c r="I25" t="s">
        <v>98</v>
      </c>
      <c r="J25" t="s">
        <v>26</v>
      </c>
      <c r="K25" t="s">
        <v>27</v>
      </c>
      <c r="L25" s="2">
        <v>36281</v>
      </c>
      <c r="M25" t="s">
        <v>99</v>
      </c>
    </row>
    <row r="26" spans="1:13" x14ac:dyDescent="0.25">
      <c r="A26">
        <v>1016</v>
      </c>
      <c r="B26" s="1">
        <v>45697</v>
      </c>
      <c r="C26" s="10" t="s">
        <v>100</v>
      </c>
      <c r="D26" t="s">
        <v>101</v>
      </c>
      <c r="E26" t="s">
        <v>102</v>
      </c>
      <c r="F26" t="s">
        <v>103</v>
      </c>
      <c r="G26" t="s">
        <v>104</v>
      </c>
      <c r="H26">
        <v>1</v>
      </c>
      <c r="I26" t="s">
        <v>105</v>
      </c>
      <c r="J26" t="s">
        <v>106</v>
      </c>
      <c r="K26" t="s">
        <v>21</v>
      </c>
      <c r="L26" s="2">
        <v>36404</v>
      </c>
      <c r="M26" t="s">
        <v>107</v>
      </c>
    </row>
    <row r="27" spans="1:13" x14ac:dyDescent="0.25">
      <c r="F27" t="s">
        <v>108</v>
      </c>
      <c r="G27" t="s">
        <v>109</v>
      </c>
      <c r="H27">
        <v>1</v>
      </c>
      <c r="I27" t="s">
        <v>79</v>
      </c>
      <c r="J27" t="s">
        <v>110</v>
      </c>
      <c r="K27" t="s">
        <v>21</v>
      </c>
    </row>
    <row r="28" spans="1:13" x14ac:dyDescent="0.25">
      <c r="A28">
        <v>1017</v>
      </c>
      <c r="B28" s="1">
        <v>45698</v>
      </c>
      <c r="C28" s="10" t="s">
        <v>111</v>
      </c>
      <c r="D28" t="s">
        <v>112</v>
      </c>
      <c r="E28" t="s">
        <v>113</v>
      </c>
      <c r="F28" t="s">
        <v>17</v>
      </c>
      <c r="G28" t="s">
        <v>18</v>
      </c>
      <c r="H28">
        <v>1</v>
      </c>
      <c r="I28" t="s">
        <v>114</v>
      </c>
      <c r="J28" t="s">
        <v>20</v>
      </c>
      <c r="K28" t="s">
        <v>21</v>
      </c>
      <c r="L28" s="2">
        <v>36404</v>
      </c>
      <c r="M28" t="s">
        <v>115</v>
      </c>
    </row>
    <row r="29" spans="1:13" x14ac:dyDescent="0.25">
      <c r="A29">
        <v>1018</v>
      </c>
      <c r="B29" s="1">
        <v>45699</v>
      </c>
      <c r="C29" s="10" t="s">
        <v>14</v>
      </c>
      <c r="D29" t="s">
        <v>15</v>
      </c>
      <c r="E29" t="s">
        <v>16</v>
      </c>
      <c r="F29" t="s">
        <v>62</v>
      </c>
      <c r="G29" t="s">
        <v>63</v>
      </c>
      <c r="H29">
        <v>1</v>
      </c>
      <c r="I29" t="s">
        <v>116</v>
      </c>
      <c r="J29" t="s">
        <v>65</v>
      </c>
      <c r="K29" t="s">
        <v>21</v>
      </c>
      <c r="L29" s="2">
        <v>36342</v>
      </c>
      <c r="M29" t="s">
        <v>117</v>
      </c>
    </row>
    <row r="30" spans="1:13" x14ac:dyDescent="0.25">
      <c r="F30" t="s">
        <v>67</v>
      </c>
      <c r="G30" t="s">
        <v>68</v>
      </c>
      <c r="H30">
        <v>1</v>
      </c>
      <c r="I30" t="s">
        <v>69</v>
      </c>
      <c r="J30" t="s">
        <v>65</v>
      </c>
      <c r="K30" t="s">
        <v>21</v>
      </c>
    </row>
    <row r="31" spans="1:13" x14ac:dyDescent="0.25">
      <c r="A31">
        <v>1019</v>
      </c>
      <c r="B31" s="1">
        <v>45700</v>
      </c>
      <c r="C31" s="10" t="s">
        <v>73</v>
      </c>
      <c r="D31" t="s">
        <v>74</v>
      </c>
      <c r="E31" t="s">
        <v>75</v>
      </c>
      <c r="F31" t="s">
        <v>47</v>
      </c>
      <c r="G31" t="s">
        <v>48</v>
      </c>
      <c r="H31">
        <v>1</v>
      </c>
      <c r="I31" t="s">
        <v>91</v>
      </c>
      <c r="J31" t="s">
        <v>44</v>
      </c>
      <c r="K31" t="s">
        <v>45</v>
      </c>
      <c r="L31" s="2">
        <v>36281</v>
      </c>
      <c r="M31" t="s">
        <v>92</v>
      </c>
    </row>
    <row r="32" spans="1:13" x14ac:dyDescent="0.25">
      <c r="A32">
        <v>1020</v>
      </c>
      <c r="B32" s="1">
        <v>45701</v>
      </c>
      <c r="C32" s="10" t="s">
        <v>94</v>
      </c>
      <c r="D32" t="s">
        <v>95</v>
      </c>
      <c r="E32" t="s">
        <v>96</v>
      </c>
      <c r="F32" t="s">
        <v>32</v>
      </c>
      <c r="G32" t="s">
        <v>33</v>
      </c>
      <c r="H32">
        <v>1</v>
      </c>
      <c r="I32" t="s">
        <v>34</v>
      </c>
      <c r="J32" t="s">
        <v>35</v>
      </c>
      <c r="K32" t="s">
        <v>36</v>
      </c>
      <c r="L32" s="2">
        <v>36281</v>
      </c>
      <c r="M32" t="s">
        <v>118</v>
      </c>
    </row>
    <row r="33" spans="6:11" x14ac:dyDescent="0.25">
      <c r="F33" t="s">
        <v>76</v>
      </c>
      <c r="G33" t="s">
        <v>77</v>
      </c>
      <c r="H33">
        <v>1</v>
      </c>
      <c r="I33" t="s">
        <v>78</v>
      </c>
      <c r="J33" t="s">
        <v>26</v>
      </c>
      <c r="K33" t="s">
        <v>27</v>
      </c>
    </row>
    <row r="34" spans="6:11" x14ac:dyDescent="0.25">
      <c r="F34" t="s">
        <v>23</v>
      </c>
      <c r="G34" t="s">
        <v>24</v>
      </c>
      <c r="H34">
        <v>1</v>
      </c>
      <c r="I34" t="s">
        <v>70</v>
      </c>
      <c r="J34" t="s">
        <v>26</v>
      </c>
      <c r="K34" t="s">
        <v>27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C7524-13A1-488E-BD9D-C841DB370BD7}">
  <dimension ref="A1:P43"/>
  <sheetViews>
    <sheetView zoomScale="130" zoomScaleNormal="130" workbookViewId="0">
      <selection activeCell="E3" sqref="E3"/>
    </sheetView>
  </sheetViews>
  <sheetFormatPr baseColWidth="10" defaultRowHeight="15" x14ac:dyDescent="0.25"/>
  <cols>
    <col min="1" max="1" width="20.140625" style="10" customWidth="1"/>
    <col min="2" max="2" width="17.42578125" style="10" bestFit="1" customWidth="1"/>
    <col min="3" max="3" width="20" style="10" bestFit="1" customWidth="1"/>
    <col min="4" max="5" width="20.140625" customWidth="1"/>
    <col min="6" max="6" width="23.28515625" customWidth="1"/>
    <col min="7" max="7" width="21" customWidth="1"/>
    <col min="8" max="8" width="21.7109375" style="10" bestFit="1" customWidth="1"/>
    <col min="9" max="9" width="18" style="10" bestFit="1" customWidth="1"/>
    <col min="10" max="10" width="21.85546875" bestFit="1" customWidth="1"/>
    <col min="11" max="11" width="11.85546875" style="10" bestFit="1" customWidth="1"/>
    <col min="12" max="12" width="13" bestFit="1" customWidth="1"/>
    <col min="13" max="13" width="12.28515625" customWidth="1"/>
    <col min="14" max="14" width="17" bestFit="1" customWidth="1"/>
    <col min="15" max="15" width="16.5703125" bestFit="1" customWidth="1"/>
    <col min="16" max="16" width="16.140625" customWidth="1"/>
  </cols>
  <sheetData>
    <row r="1" spans="1:16" s="8" customFormat="1" ht="22.5" customHeight="1" x14ac:dyDescent="0.3">
      <c r="A1" s="13" t="s">
        <v>0</v>
      </c>
      <c r="B1" s="9"/>
      <c r="C1" s="9"/>
      <c r="H1" s="9"/>
      <c r="I1" s="9"/>
      <c r="K1" s="9"/>
    </row>
    <row r="3" spans="1:16" x14ac:dyDescent="0.25">
      <c r="A3" s="10" t="s">
        <v>1</v>
      </c>
      <c r="B3" s="10" t="s">
        <v>2</v>
      </c>
      <c r="C3" s="10" t="s">
        <v>3</v>
      </c>
      <c r="D3" t="s">
        <v>180</v>
      </c>
      <c r="E3" t="s">
        <v>181</v>
      </c>
      <c r="F3" t="s">
        <v>5</v>
      </c>
      <c r="G3" t="s">
        <v>141</v>
      </c>
      <c r="H3" s="10" t="s">
        <v>142</v>
      </c>
      <c r="I3" s="10" t="s">
        <v>6</v>
      </c>
      <c r="J3" t="s">
        <v>7</v>
      </c>
      <c r="K3" s="10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</row>
    <row r="4" spans="1:16" ht="15" customHeight="1" x14ac:dyDescent="0.25">
      <c r="A4" s="10">
        <v>1001</v>
      </c>
      <c r="B4" s="11">
        <v>45672</v>
      </c>
      <c r="C4" s="10" t="s">
        <v>14</v>
      </c>
      <c r="D4" t="s">
        <v>161</v>
      </c>
      <c r="E4" t="s">
        <v>162</v>
      </c>
      <c r="F4" t="s">
        <v>119</v>
      </c>
      <c r="G4" t="s">
        <v>120</v>
      </c>
      <c r="H4" s="10" t="s">
        <v>121</v>
      </c>
      <c r="I4" s="10" t="s">
        <v>17</v>
      </c>
      <c r="J4" t="s">
        <v>18</v>
      </c>
      <c r="K4" s="10">
        <v>1</v>
      </c>
      <c r="L4">
        <v>1200</v>
      </c>
      <c r="M4" t="s">
        <v>20</v>
      </c>
      <c r="N4" t="s">
        <v>21</v>
      </c>
      <c r="O4">
        <v>5.99</v>
      </c>
      <c r="P4">
        <v>1231.49</v>
      </c>
    </row>
    <row r="5" spans="1:16" ht="15.75" customHeight="1" x14ac:dyDescent="0.25">
      <c r="A5" s="10">
        <f t="shared" ref="A5:H5" si="0">A4</f>
        <v>1001</v>
      </c>
      <c r="B5" s="11">
        <f t="shared" si="0"/>
        <v>45672</v>
      </c>
      <c r="C5" s="10" t="str">
        <f t="shared" si="0"/>
        <v>K001</v>
      </c>
      <c r="D5" t="str">
        <f>D4</f>
        <v>Max</v>
      </c>
      <c r="E5" t="str">
        <f>E4</f>
        <v>Mustermann</v>
      </c>
      <c r="F5" t="str">
        <f t="shared" si="0"/>
        <v>Musterstraße 1</v>
      </c>
      <c r="G5" t="str">
        <f t="shared" si="0"/>
        <v xml:space="preserve"> 12345 Musterstadt</v>
      </c>
      <c r="H5" s="10" t="str">
        <f t="shared" si="0"/>
        <v xml:space="preserve"> Deutschland</v>
      </c>
      <c r="I5" s="10" t="s">
        <v>23</v>
      </c>
      <c r="J5" t="s">
        <v>24</v>
      </c>
      <c r="K5" s="10">
        <v>1</v>
      </c>
      <c r="L5">
        <v>25.5</v>
      </c>
      <c r="M5" t="s">
        <v>26</v>
      </c>
      <c r="N5" t="s">
        <v>27</v>
      </c>
      <c r="O5">
        <f>O4</f>
        <v>5.99</v>
      </c>
      <c r="P5">
        <f>P4</f>
        <v>1231.49</v>
      </c>
    </row>
    <row r="6" spans="1:16" x14ac:dyDescent="0.25">
      <c r="A6" s="10">
        <v>1002</v>
      </c>
      <c r="B6" s="11">
        <v>45673</v>
      </c>
      <c r="C6" s="10" t="s">
        <v>28</v>
      </c>
      <c r="D6" t="s">
        <v>163</v>
      </c>
      <c r="E6" t="s">
        <v>162</v>
      </c>
      <c r="F6" t="s">
        <v>122</v>
      </c>
      <c r="G6" t="s">
        <v>123</v>
      </c>
      <c r="H6" s="10" t="s">
        <v>121</v>
      </c>
      <c r="I6" s="10" t="s">
        <v>17</v>
      </c>
      <c r="J6" t="s">
        <v>18</v>
      </c>
      <c r="K6" s="10">
        <v>1</v>
      </c>
      <c r="L6">
        <v>1200</v>
      </c>
      <c r="M6" t="s">
        <v>20</v>
      </c>
      <c r="N6" t="s">
        <v>21</v>
      </c>
      <c r="O6">
        <v>5.99</v>
      </c>
      <c r="P6">
        <v>1295.99</v>
      </c>
    </row>
    <row r="7" spans="1:16" x14ac:dyDescent="0.25">
      <c r="A7" s="10">
        <f t="shared" ref="A7:H7" si="1">A6</f>
        <v>1002</v>
      </c>
      <c r="B7" s="11">
        <f t="shared" si="1"/>
        <v>45673</v>
      </c>
      <c r="C7" s="10" t="str">
        <f t="shared" si="1"/>
        <v>K002</v>
      </c>
      <c r="D7" t="str">
        <f>D6</f>
        <v>Erika</v>
      </c>
      <c r="E7" t="str">
        <f>E6</f>
        <v>Mustermann</v>
      </c>
      <c r="F7" t="str">
        <f t="shared" si="1"/>
        <v>Beispielweg 5</v>
      </c>
      <c r="G7" t="str">
        <f t="shared" si="1"/>
        <v xml:space="preserve"> 54321 Beispielhausen</v>
      </c>
      <c r="H7" s="10" t="str">
        <f t="shared" si="1"/>
        <v xml:space="preserve"> Deutschland</v>
      </c>
      <c r="I7" s="10" t="s">
        <v>32</v>
      </c>
      <c r="J7" t="s">
        <v>33</v>
      </c>
      <c r="K7" s="10">
        <v>2</v>
      </c>
      <c r="L7">
        <v>45</v>
      </c>
      <c r="M7" t="s">
        <v>35</v>
      </c>
      <c r="N7" t="s">
        <v>36</v>
      </c>
      <c r="O7">
        <f>O6</f>
        <v>5.99</v>
      </c>
      <c r="P7">
        <f>P6</f>
        <v>1295.99</v>
      </c>
    </row>
    <row r="8" spans="1:16" x14ac:dyDescent="0.25">
      <c r="A8" s="10">
        <v>1003</v>
      </c>
      <c r="B8" s="11">
        <v>45674</v>
      </c>
      <c r="C8" s="10" t="s">
        <v>14</v>
      </c>
      <c r="D8" t="s">
        <v>161</v>
      </c>
      <c r="E8" t="s">
        <v>162</v>
      </c>
      <c r="F8" t="s">
        <v>119</v>
      </c>
      <c r="G8" t="s">
        <v>120</v>
      </c>
      <c r="H8" s="10" t="s">
        <v>121</v>
      </c>
      <c r="I8" s="10" t="s">
        <v>32</v>
      </c>
      <c r="J8" t="s">
        <v>33</v>
      </c>
      <c r="K8" s="10">
        <v>1</v>
      </c>
      <c r="L8">
        <v>45</v>
      </c>
      <c r="M8" t="s">
        <v>35</v>
      </c>
      <c r="N8" t="s">
        <v>36</v>
      </c>
      <c r="O8">
        <v>4.99</v>
      </c>
      <c r="P8">
        <v>49.99</v>
      </c>
    </row>
    <row r="9" spans="1:16" ht="18.75" customHeight="1" x14ac:dyDescent="0.25">
      <c r="A9" s="10">
        <v>1004</v>
      </c>
      <c r="B9" s="11">
        <v>45675</v>
      </c>
      <c r="C9" s="10" t="s">
        <v>38</v>
      </c>
      <c r="D9" t="s">
        <v>164</v>
      </c>
      <c r="E9" t="s">
        <v>165</v>
      </c>
      <c r="F9" t="s">
        <v>124</v>
      </c>
      <c r="G9" t="s">
        <v>125</v>
      </c>
      <c r="H9" s="10" t="s">
        <v>126</v>
      </c>
      <c r="I9" s="10" t="s">
        <v>41</v>
      </c>
      <c r="J9" t="s">
        <v>42</v>
      </c>
      <c r="K9" s="10">
        <v>1</v>
      </c>
      <c r="L9">
        <v>2500</v>
      </c>
      <c r="M9" t="s">
        <v>44</v>
      </c>
      <c r="N9" t="s">
        <v>45</v>
      </c>
      <c r="O9">
        <v>12.99</v>
      </c>
      <c r="P9">
        <v>2662.99</v>
      </c>
    </row>
    <row r="10" spans="1:16" x14ac:dyDescent="0.25">
      <c r="A10" s="10">
        <f t="shared" ref="A10:H10" si="2">A9</f>
        <v>1004</v>
      </c>
      <c r="B10" s="11">
        <f t="shared" si="2"/>
        <v>45675</v>
      </c>
      <c r="C10" s="10" t="str">
        <f t="shared" si="2"/>
        <v>K003</v>
      </c>
      <c r="D10" t="str">
        <f>D9</f>
        <v>Peter</v>
      </c>
      <c r="E10" t="str">
        <f>E9</f>
        <v>Meier</v>
      </c>
      <c r="F10" t="str">
        <f t="shared" si="2"/>
        <v>Hauptplatz 10</v>
      </c>
      <c r="G10" t="str">
        <f t="shared" si="2"/>
        <v xml:space="preserve"> 4020 Linz</v>
      </c>
      <c r="H10" s="10" t="str">
        <f t="shared" si="2"/>
        <v xml:space="preserve"> Österreich</v>
      </c>
      <c r="I10" s="10" t="s">
        <v>47</v>
      </c>
      <c r="J10" t="s">
        <v>48</v>
      </c>
      <c r="K10" s="10">
        <v>1</v>
      </c>
      <c r="L10">
        <v>150</v>
      </c>
      <c r="M10" t="s">
        <v>44</v>
      </c>
      <c r="N10" t="s">
        <v>45</v>
      </c>
      <c r="O10">
        <f>O9</f>
        <v>12.99</v>
      </c>
      <c r="P10">
        <f>P9</f>
        <v>2662.99</v>
      </c>
    </row>
    <row r="11" spans="1:16" x14ac:dyDescent="0.25">
      <c r="A11" s="10">
        <v>1005</v>
      </c>
      <c r="B11" s="11">
        <v>45676</v>
      </c>
      <c r="C11" s="10" t="s">
        <v>50</v>
      </c>
      <c r="D11" t="s">
        <v>166</v>
      </c>
      <c r="E11" t="s">
        <v>167</v>
      </c>
      <c r="F11" t="s">
        <v>127</v>
      </c>
      <c r="G11" t="s">
        <v>128</v>
      </c>
      <c r="H11" s="10" t="s">
        <v>129</v>
      </c>
      <c r="I11" s="10" t="s">
        <v>53</v>
      </c>
      <c r="J11" t="s">
        <v>54</v>
      </c>
      <c r="K11" s="10">
        <v>2</v>
      </c>
      <c r="L11">
        <v>350</v>
      </c>
      <c r="M11" t="s">
        <v>56</v>
      </c>
      <c r="N11" t="s">
        <v>21</v>
      </c>
      <c r="O11">
        <v>9.99</v>
      </c>
      <c r="P11">
        <v>709.99</v>
      </c>
    </row>
    <row r="12" spans="1:16" x14ac:dyDescent="0.25">
      <c r="A12" s="10">
        <v>1006</v>
      </c>
      <c r="B12" s="11">
        <v>45677</v>
      </c>
      <c r="C12" s="10" t="s">
        <v>28</v>
      </c>
      <c r="D12" t="s">
        <v>163</v>
      </c>
      <c r="E12" t="s">
        <v>162</v>
      </c>
      <c r="F12" t="s">
        <v>122</v>
      </c>
      <c r="G12" t="s">
        <v>123</v>
      </c>
      <c r="H12" s="10" t="s">
        <v>121</v>
      </c>
      <c r="I12" s="10" t="s">
        <v>23</v>
      </c>
      <c r="J12" t="s">
        <v>24</v>
      </c>
      <c r="K12" s="10">
        <v>1</v>
      </c>
      <c r="L12">
        <v>25.5</v>
      </c>
      <c r="M12" t="s">
        <v>26</v>
      </c>
      <c r="N12" t="s">
        <v>27</v>
      </c>
      <c r="O12">
        <v>4.99</v>
      </c>
      <c r="P12">
        <v>30.49</v>
      </c>
    </row>
    <row r="13" spans="1:16" ht="18.75" customHeight="1" x14ac:dyDescent="0.25">
      <c r="A13" s="10">
        <v>1007</v>
      </c>
      <c r="B13" s="11">
        <v>45678</v>
      </c>
      <c r="C13" s="10" t="s">
        <v>59</v>
      </c>
      <c r="D13" t="s">
        <v>168</v>
      </c>
      <c r="E13" t="s">
        <v>169</v>
      </c>
      <c r="F13" t="s">
        <v>130</v>
      </c>
      <c r="G13" t="s">
        <v>131</v>
      </c>
      <c r="H13" s="10" t="s">
        <v>121</v>
      </c>
      <c r="I13" s="10" t="s">
        <v>62</v>
      </c>
      <c r="J13" t="s">
        <v>63</v>
      </c>
      <c r="K13" s="10">
        <v>1</v>
      </c>
      <c r="L13">
        <v>180</v>
      </c>
      <c r="M13" t="s">
        <v>65</v>
      </c>
      <c r="N13" t="s">
        <v>21</v>
      </c>
      <c r="O13">
        <v>7.99</v>
      </c>
      <c r="P13">
        <v>293.99</v>
      </c>
    </row>
    <row r="14" spans="1:16" x14ac:dyDescent="0.25">
      <c r="A14" s="10">
        <f t="shared" ref="A14:A15" si="3">A13</f>
        <v>1007</v>
      </c>
      <c r="B14" s="11">
        <f t="shared" ref="B14:B15" si="4">B13</f>
        <v>45678</v>
      </c>
      <c r="C14" s="10" t="str">
        <f t="shared" ref="C14:C15" si="5">C13</f>
        <v>K005</v>
      </c>
      <c r="D14" t="str">
        <f>D13</f>
        <v>Lukas</v>
      </c>
      <c r="E14" t="str">
        <f t="shared" ref="E14:E15" si="6">E13</f>
        <v>Weber</v>
      </c>
      <c r="F14" t="str">
        <f t="shared" ref="F14:F15" si="7">F13</f>
        <v>Seestraße 8</v>
      </c>
      <c r="G14" t="str">
        <f t="shared" ref="G14:G15" si="8">G13</f>
        <v xml:space="preserve"> 10117 Berlin</v>
      </c>
      <c r="H14" s="10" t="str">
        <f t="shared" ref="H14:H15" si="9">H13</f>
        <v xml:space="preserve"> Deutschland</v>
      </c>
      <c r="I14" s="10" t="s">
        <v>67</v>
      </c>
      <c r="J14" t="s">
        <v>68</v>
      </c>
      <c r="K14" s="10">
        <v>3</v>
      </c>
      <c r="L14">
        <v>30</v>
      </c>
      <c r="M14" t="s">
        <v>65</v>
      </c>
      <c r="N14" t="s">
        <v>21</v>
      </c>
      <c r="O14">
        <f t="shared" ref="O14:O15" si="10">O13</f>
        <v>7.99</v>
      </c>
      <c r="P14">
        <f t="shared" ref="P14:P15" si="11">P13</f>
        <v>293.99</v>
      </c>
    </row>
    <row r="15" spans="1:16" x14ac:dyDescent="0.25">
      <c r="A15" s="10">
        <f t="shared" si="3"/>
        <v>1007</v>
      </c>
      <c r="B15" s="11">
        <f t="shared" si="4"/>
        <v>45678</v>
      </c>
      <c r="C15" s="10" t="str">
        <f t="shared" si="5"/>
        <v>K005</v>
      </c>
      <c r="D15" t="str">
        <f>D14</f>
        <v>Lukas</v>
      </c>
      <c r="E15" t="str">
        <f t="shared" si="6"/>
        <v>Weber</v>
      </c>
      <c r="F15" t="str">
        <f t="shared" si="7"/>
        <v>Seestraße 8</v>
      </c>
      <c r="G15" t="str">
        <f t="shared" si="8"/>
        <v xml:space="preserve"> 10117 Berlin</v>
      </c>
      <c r="H15" s="10" t="str">
        <f t="shared" si="9"/>
        <v xml:space="preserve"> Deutschland</v>
      </c>
      <c r="I15" s="10" t="s">
        <v>23</v>
      </c>
      <c r="J15" t="s">
        <v>24</v>
      </c>
      <c r="K15" s="10">
        <v>1</v>
      </c>
      <c r="L15">
        <v>26</v>
      </c>
      <c r="M15" t="s">
        <v>26</v>
      </c>
      <c r="N15" t="s">
        <v>27</v>
      </c>
      <c r="O15">
        <f t="shared" si="10"/>
        <v>7.99</v>
      </c>
      <c r="P15">
        <f t="shared" si="11"/>
        <v>293.99</v>
      </c>
    </row>
    <row r="16" spans="1:16" x14ac:dyDescent="0.25">
      <c r="A16" s="10">
        <v>1008</v>
      </c>
      <c r="B16" s="11">
        <v>45689</v>
      </c>
      <c r="C16" s="10" t="s">
        <v>14</v>
      </c>
      <c r="D16" t="s">
        <v>161</v>
      </c>
      <c r="E16" t="s">
        <v>162</v>
      </c>
      <c r="F16" t="s">
        <v>119</v>
      </c>
      <c r="G16" t="s">
        <v>120</v>
      </c>
      <c r="H16" s="10" t="s">
        <v>121</v>
      </c>
      <c r="I16" s="10" t="s">
        <v>53</v>
      </c>
      <c r="J16" t="s">
        <v>54</v>
      </c>
      <c r="K16" s="10">
        <v>1</v>
      </c>
      <c r="L16">
        <v>350</v>
      </c>
      <c r="M16" t="s">
        <v>56</v>
      </c>
      <c r="N16" t="s">
        <v>21</v>
      </c>
      <c r="O16">
        <v>9.99</v>
      </c>
      <c r="P16">
        <v>359.99</v>
      </c>
    </row>
    <row r="17" spans="1:16" x14ac:dyDescent="0.25">
      <c r="A17" s="10">
        <v>1009</v>
      </c>
      <c r="B17" s="11">
        <v>45690</v>
      </c>
      <c r="C17" s="10" t="s">
        <v>38</v>
      </c>
      <c r="D17" t="s">
        <v>164</v>
      </c>
      <c r="E17" t="s">
        <v>165</v>
      </c>
      <c r="F17" t="s">
        <v>124</v>
      </c>
      <c r="G17" t="s">
        <v>125</v>
      </c>
      <c r="H17" s="10" t="s">
        <v>126</v>
      </c>
      <c r="I17" s="10" t="s">
        <v>17</v>
      </c>
      <c r="J17" t="s">
        <v>18</v>
      </c>
      <c r="K17" s="10">
        <v>1</v>
      </c>
      <c r="L17">
        <v>1200</v>
      </c>
      <c r="M17" t="s">
        <v>20</v>
      </c>
      <c r="N17" t="s">
        <v>21</v>
      </c>
      <c r="O17">
        <v>9.99</v>
      </c>
      <c r="P17">
        <v>1209.99</v>
      </c>
    </row>
    <row r="18" spans="1:16" ht="18.75" customHeight="1" x14ac:dyDescent="0.25">
      <c r="A18" s="10">
        <v>1010</v>
      </c>
      <c r="B18" s="11">
        <v>45691</v>
      </c>
      <c r="C18" s="10" t="s">
        <v>73</v>
      </c>
      <c r="D18" t="s">
        <v>176</v>
      </c>
      <c r="E18" t="s">
        <v>177</v>
      </c>
      <c r="F18" t="s">
        <v>132</v>
      </c>
      <c r="G18" t="s">
        <v>133</v>
      </c>
      <c r="H18" s="10" t="s">
        <v>121</v>
      </c>
      <c r="I18" s="10" t="s">
        <v>76</v>
      </c>
      <c r="J18" t="s">
        <v>77</v>
      </c>
      <c r="K18" s="10">
        <v>1</v>
      </c>
      <c r="L18">
        <v>60</v>
      </c>
      <c r="M18" t="s">
        <v>26</v>
      </c>
      <c r="N18" t="s">
        <v>27</v>
      </c>
      <c r="O18">
        <v>4.99</v>
      </c>
      <c r="P18">
        <v>159.99</v>
      </c>
    </row>
    <row r="19" spans="1:16" x14ac:dyDescent="0.25">
      <c r="A19" s="10">
        <f t="shared" ref="A19:H19" si="12">A18</f>
        <v>1010</v>
      </c>
      <c r="B19" s="11">
        <f t="shared" si="12"/>
        <v>45691</v>
      </c>
      <c r="C19" s="10" t="str">
        <f t="shared" si="12"/>
        <v>K006</v>
      </c>
      <c r="D19" t="str">
        <f>D18</f>
        <v>Sophie</v>
      </c>
      <c r="E19" t="str">
        <f>E18</f>
        <v>Müller</v>
      </c>
      <c r="F19" t="str">
        <f t="shared" si="12"/>
        <v>Am Markt 7</v>
      </c>
      <c r="G19" t="str">
        <f t="shared" si="12"/>
        <v xml:space="preserve"> 20095 Hamburg</v>
      </c>
      <c r="H19" s="10" t="str">
        <f t="shared" si="12"/>
        <v xml:space="preserve"> Deutschland</v>
      </c>
      <c r="I19" s="10" t="s">
        <v>80</v>
      </c>
      <c r="J19" t="s">
        <v>81</v>
      </c>
      <c r="K19" s="10">
        <v>1</v>
      </c>
      <c r="L19">
        <v>95</v>
      </c>
      <c r="M19" t="s">
        <v>83</v>
      </c>
      <c r="N19" t="s">
        <v>84</v>
      </c>
      <c r="O19">
        <f>O18</f>
        <v>4.99</v>
      </c>
      <c r="P19">
        <f>P18</f>
        <v>159.99</v>
      </c>
    </row>
    <row r="20" spans="1:16" x14ac:dyDescent="0.25">
      <c r="A20" s="10">
        <v>1011</v>
      </c>
      <c r="B20" s="11">
        <v>45692</v>
      </c>
      <c r="C20" s="10" t="s">
        <v>85</v>
      </c>
      <c r="D20" t="s">
        <v>170</v>
      </c>
      <c r="E20" t="s">
        <v>171</v>
      </c>
      <c r="F20" t="s">
        <v>134</v>
      </c>
      <c r="G20" t="s">
        <v>135</v>
      </c>
      <c r="H20" s="10" t="s">
        <v>129</v>
      </c>
      <c r="I20" s="10" t="s">
        <v>41</v>
      </c>
      <c r="J20" t="s">
        <v>42</v>
      </c>
      <c r="K20" s="10">
        <v>1</v>
      </c>
      <c r="L20">
        <v>2550</v>
      </c>
      <c r="M20" t="s">
        <v>44</v>
      </c>
      <c r="N20" t="s">
        <v>45</v>
      </c>
      <c r="O20">
        <v>15.99</v>
      </c>
      <c r="P20">
        <v>2565.9899999999998</v>
      </c>
    </row>
    <row r="21" spans="1:16" x14ac:dyDescent="0.25">
      <c r="A21" s="10">
        <v>1012</v>
      </c>
      <c r="B21" s="11">
        <v>45693</v>
      </c>
      <c r="C21" s="10" t="s">
        <v>59</v>
      </c>
      <c r="D21" t="s">
        <v>168</v>
      </c>
      <c r="E21" t="s">
        <v>169</v>
      </c>
      <c r="F21" t="s">
        <v>130</v>
      </c>
      <c r="G21" t="s">
        <v>131</v>
      </c>
      <c r="H21" s="10" t="s">
        <v>121</v>
      </c>
      <c r="I21" s="10" t="s">
        <v>47</v>
      </c>
      <c r="J21" t="s">
        <v>48</v>
      </c>
      <c r="K21" s="10">
        <v>1</v>
      </c>
      <c r="L21">
        <v>155</v>
      </c>
      <c r="M21" t="s">
        <v>44</v>
      </c>
      <c r="N21" t="s">
        <v>45</v>
      </c>
      <c r="O21">
        <v>5.99</v>
      </c>
      <c r="P21">
        <v>160.99</v>
      </c>
    </row>
    <row r="22" spans="1:16" x14ac:dyDescent="0.25">
      <c r="A22" s="10">
        <v>1013</v>
      </c>
      <c r="B22" s="11">
        <v>45694</v>
      </c>
      <c r="C22" s="10" t="s">
        <v>28</v>
      </c>
      <c r="D22" t="s">
        <v>163</v>
      </c>
      <c r="E22" t="s">
        <v>162</v>
      </c>
      <c r="F22" t="s">
        <v>122</v>
      </c>
      <c r="G22" t="s">
        <v>123</v>
      </c>
      <c r="H22" s="10" t="s">
        <v>121</v>
      </c>
      <c r="I22" s="10" t="s">
        <v>80</v>
      </c>
      <c r="J22" t="s">
        <v>81</v>
      </c>
      <c r="K22" s="10">
        <v>1</v>
      </c>
      <c r="L22">
        <v>95</v>
      </c>
      <c r="M22" t="s">
        <v>83</v>
      </c>
      <c r="N22" t="s">
        <v>84</v>
      </c>
      <c r="O22">
        <v>4.99</v>
      </c>
      <c r="P22">
        <v>99.99</v>
      </c>
    </row>
    <row r="23" spans="1:16" ht="18.75" customHeight="1" x14ac:dyDescent="0.25">
      <c r="A23" s="10">
        <v>1014</v>
      </c>
      <c r="B23" s="11">
        <v>45695</v>
      </c>
      <c r="C23" s="10" t="s">
        <v>94</v>
      </c>
      <c r="D23" t="s">
        <v>172</v>
      </c>
      <c r="E23" t="s">
        <v>173</v>
      </c>
      <c r="F23" t="s">
        <v>136</v>
      </c>
      <c r="G23" t="s">
        <v>137</v>
      </c>
      <c r="H23" s="10" t="s">
        <v>126</v>
      </c>
      <c r="I23" s="10" t="s">
        <v>23</v>
      </c>
      <c r="J23" t="s">
        <v>24</v>
      </c>
      <c r="K23" s="10">
        <v>2</v>
      </c>
      <c r="L23">
        <v>26</v>
      </c>
      <c r="M23" t="s">
        <v>26</v>
      </c>
      <c r="N23" t="s">
        <v>27</v>
      </c>
      <c r="O23">
        <v>5.99</v>
      </c>
      <c r="P23">
        <v>119.99</v>
      </c>
    </row>
    <row r="24" spans="1:16" x14ac:dyDescent="0.25">
      <c r="A24" s="10">
        <f t="shared" ref="A24:H24" si="13">A23</f>
        <v>1014</v>
      </c>
      <c r="B24" s="11">
        <f t="shared" si="13"/>
        <v>45695</v>
      </c>
      <c r="C24" s="10" t="str">
        <f t="shared" si="13"/>
        <v>K008</v>
      </c>
      <c r="D24" t="str">
        <f>D23</f>
        <v>Maria</v>
      </c>
      <c r="E24" t="str">
        <f>E23</f>
        <v>Huber</v>
      </c>
      <c r="F24" t="str">
        <f t="shared" si="13"/>
        <v>Mariahilfer Str. 5</v>
      </c>
      <c r="G24" t="str">
        <f t="shared" si="13"/>
        <v xml:space="preserve"> 1060 Wien</v>
      </c>
      <c r="H24" s="10" t="str">
        <f t="shared" si="13"/>
        <v xml:space="preserve"> Österreich</v>
      </c>
      <c r="I24" s="10" t="s">
        <v>76</v>
      </c>
      <c r="J24" t="s">
        <v>77</v>
      </c>
      <c r="K24" s="10">
        <v>1</v>
      </c>
      <c r="L24">
        <v>62</v>
      </c>
      <c r="M24" t="s">
        <v>26</v>
      </c>
      <c r="N24" t="s">
        <v>27</v>
      </c>
      <c r="O24">
        <f>O23</f>
        <v>5.99</v>
      </c>
      <c r="P24">
        <f>P23</f>
        <v>119.99</v>
      </c>
    </row>
    <row r="25" spans="1:16" x14ac:dyDescent="0.25">
      <c r="A25" s="10">
        <v>1015</v>
      </c>
      <c r="B25" s="11">
        <v>45696</v>
      </c>
      <c r="C25" s="10" t="s">
        <v>94</v>
      </c>
      <c r="D25" t="s">
        <v>172</v>
      </c>
      <c r="E25" t="s">
        <v>173</v>
      </c>
      <c r="F25" t="s">
        <v>136</v>
      </c>
      <c r="G25" t="s">
        <v>137</v>
      </c>
      <c r="H25" s="10" t="s">
        <v>126</v>
      </c>
      <c r="I25" s="10" t="s">
        <v>76</v>
      </c>
      <c r="J25" t="s">
        <v>77</v>
      </c>
      <c r="K25" s="10">
        <v>1</v>
      </c>
      <c r="L25">
        <v>62</v>
      </c>
      <c r="M25" t="s">
        <v>26</v>
      </c>
      <c r="N25" t="s">
        <v>27</v>
      </c>
      <c r="O25">
        <v>5.99</v>
      </c>
      <c r="P25">
        <v>67.989999999999995</v>
      </c>
    </row>
    <row r="26" spans="1:16" ht="18.75" customHeight="1" x14ac:dyDescent="0.25">
      <c r="A26" s="10">
        <v>1016</v>
      </c>
      <c r="B26" s="11">
        <v>45697</v>
      </c>
      <c r="C26" s="10" t="s">
        <v>100</v>
      </c>
      <c r="D26" t="s">
        <v>178</v>
      </c>
      <c r="E26" t="s">
        <v>179</v>
      </c>
      <c r="F26" t="s">
        <v>138</v>
      </c>
      <c r="G26" t="s">
        <v>139</v>
      </c>
      <c r="H26" s="10" t="s">
        <v>121</v>
      </c>
      <c r="I26" s="10" t="s">
        <v>103</v>
      </c>
      <c r="J26" t="s">
        <v>104</v>
      </c>
      <c r="K26" s="10">
        <v>1</v>
      </c>
      <c r="L26">
        <v>750</v>
      </c>
      <c r="M26" t="s">
        <v>106</v>
      </c>
      <c r="N26" t="s">
        <v>21</v>
      </c>
      <c r="O26">
        <v>9.99</v>
      </c>
      <c r="P26">
        <v>919.98</v>
      </c>
    </row>
    <row r="27" spans="1:16" x14ac:dyDescent="0.25">
      <c r="A27" s="10">
        <f t="shared" ref="A27:H27" si="14">A26</f>
        <v>1016</v>
      </c>
      <c r="B27" s="11">
        <f t="shared" si="14"/>
        <v>45697</v>
      </c>
      <c r="C27" s="10" t="str">
        <f t="shared" si="14"/>
        <v>K009</v>
      </c>
      <c r="D27" t="str">
        <f>D26</f>
        <v>Stefan</v>
      </c>
      <c r="E27" t="str">
        <f>E26</f>
        <v>Bauer</v>
      </c>
      <c r="F27" t="str">
        <f t="shared" si="14"/>
        <v>Schlossallee 42</v>
      </c>
      <c r="G27" t="str">
        <f t="shared" si="14"/>
        <v xml:space="preserve"> 80539 München</v>
      </c>
      <c r="H27" s="10" t="str">
        <f t="shared" si="14"/>
        <v xml:space="preserve"> Deutschland</v>
      </c>
      <c r="I27" s="10" t="s">
        <v>108</v>
      </c>
      <c r="J27" t="s">
        <v>109</v>
      </c>
      <c r="K27" s="10">
        <v>1</v>
      </c>
      <c r="L27">
        <v>159.99</v>
      </c>
      <c r="M27" t="s">
        <v>110</v>
      </c>
      <c r="N27" t="s">
        <v>21</v>
      </c>
      <c r="O27">
        <f>O26</f>
        <v>9.99</v>
      </c>
      <c r="P27">
        <f>P26</f>
        <v>919.98</v>
      </c>
    </row>
    <row r="28" spans="1:16" x14ac:dyDescent="0.25">
      <c r="A28" s="10">
        <v>1017</v>
      </c>
      <c r="B28" s="11">
        <v>45698</v>
      </c>
      <c r="C28" s="10" t="s">
        <v>111</v>
      </c>
      <c r="D28" t="s">
        <v>174</v>
      </c>
      <c r="E28" t="s">
        <v>175</v>
      </c>
      <c r="F28" t="s">
        <v>140</v>
      </c>
      <c r="G28" t="s">
        <v>128</v>
      </c>
      <c r="H28" s="10" t="s">
        <v>129</v>
      </c>
      <c r="I28" s="10" t="s">
        <v>17</v>
      </c>
      <c r="J28" t="s">
        <v>18</v>
      </c>
      <c r="K28" s="10">
        <v>1</v>
      </c>
      <c r="L28">
        <v>1250</v>
      </c>
      <c r="M28" t="s">
        <v>20</v>
      </c>
      <c r="N28" t="s">
        <v>21</v>
      </c>
      <c r="O28">
        <v>9.99</v>
      </c>
      <c r="P28">
        <v>1259.99</v>
      </c>
    </row>
    <row r="29" spans="1:16" ht="18.75" customHeight="1" x14ac:dyDescent="0.25">
      <c r="A29" s="10">
        <v>1018</v>
      </c>
      <c r="B29" s="11">
        <v>45699</v>
      </c>
      <c r="C29" s="10" t="s">
        <v>14</v>
      </c>
      <c r="D29" t="s">
        <v>161</v>
      </c>
      <c r="E29" t="s">
        <v>162</v>
      </c>
      <c r="F29" t="s">
        <v>119</v>
      </c>
      <c r="G29" t="s">
        <v>120</v>
      </c>
      <c r="H29" s="10" t="s">
        <v>121</v>
      </c>
      <c r="I29" s="10" t="s">
        <v>62</v>
      </c>
      <c r="J29" t="s">
        <v>63</v>
      </c>
      <c r="K29" s="10">
        <v>1</v>
      </c>
      <c r="L29">
        <v>185</v>
      </c>
      <c r="M29" t="s">
        <v>65</v>
      </c>
      <c r="N29" t="s">
        <v>21</v>
      </c>
      <c r="O29">
        <v>7.99</v>
      </c>
      <c r="P29">
        <v>222.99</v>
      </c>
    </row>
    <row r="30" spans="1:16" x14ac:dyDescent="0.25">
      <c r="A30" s="10">
        <f t="shared" ref="A30:H30" si="15">A29</f>
        <v>1018</v>
      </c>
      <c r="B30" s="11">
        <f t="shared" si="15"/>
        <v>45699</v>
      </c>
      <c r="C30" s="10" t="str">
        <f t="shared" si="15"/>
        <v>K001</v>
      </c>
      <c r="D30" t="str">
        <f>D29</f>
        <v>Max</v>
      </c>
      <c r="E30" t="str">
        <f>E29</f>
        <v>Mustermann</v>
      </c>
      <c r="F30" t="str">
        <f t="shared" si="15"/>
        <v>Musterstraße 1</v>
      </c>
      <c r="G30" t="str">
        <f t="shared" si="15"/>
        <v xml:space="preserve"> 12345 Musterstadt</v>
      </c>
      <c r="H30" s="10" t="str">
        <f t="shared" si="15"/>
        <v xml:space="preserve"> Deutschland</v>
      </c>
      <c r="I30" s="10" t="s">
        <v>67</v>
      </c>
      <c r="J30" t="s">
        <v>68</v>
      </c>
      <c r="K30" s="10">
        <v>1</v>
      </c>
      <c r="L30">
        <v>30</v>
      </c>
      <c r="M30" t="s">
        <v>65</v>
      </c>
      <c r="N30" t="s">
        <v>21</v>
      </c>
      <c r="O30">
        <f>O29</f>
        <v>7.99</v>
      </c>
      <c r="P30">
        <f>P29</f>
        <v>222.99</v>
      </c>
    </row>
    <row r="31" spans="1:16" x14ac:dyDescent="0.25">
      <c r="A31" s="10">
        <v>1019</v>
      </c>
      <c r="B31" s="11">
        <v>45700</v>
      </c>
      <c r="C31" s="10" t="s">
        <v>73</v>
      </c>
      <c r="D31" t="s">
        <v>176</v>
      </c>
      <c r="E31" t="s">
        <v>177</v>
      </c>
      <c r="F31" t="s">
        <v>132</v>
      </c>
      <c r="G31" t="s">
        <v>133</v>
      </c>
      <c r="H31" s="10" t="s">
        <v>121</v>
      </c>
      <c r="I31" s="10" t="s">
        <v>47</v>
      </c>
      <c r="J31" t="s">
        <v>48</v>
      </c>
      <c r="K31" s="10">
        <v>1</v>
      </c>
      <c r="L31">
        <v>155</v>
      </c>
      <c r="M31" t="s">
        <v>44</v>
      </c>
      <c r="N31" t="s">
        <v>45</v>
      </c>
      <c r="O31">
        <v>5.99</v>
      </c>
      <c r="P31">
        <v>160.99</v>
      </c>
    </row>
    <row r="32" spans="1:16" x14ac:dyDescent="0.25">
      <c r="A32" s="10">
        <v>1020</v>
      </c>
      <c r="B32" s="11">
        <v>45701</v>
      </c>
      <c r="C32" s="10" t="s">
        <v>94</v>
      </c>
      <c r="D32" t="s">
        <v>172</v>
      </c>
      <c r="E32" t="s">
        <v>173</v>
      </c>
      <c r="F32" t="s">
        <v>136</v>
      </c>
      <c r="G32" t="s">
        <v>137</v>
      </c>
      <c r="H32" s="10" t="s">
        <v>126</v>
      </c>
      <c r="I32" s="10" t="s">
        <v>32</v>
      </c>
      <c r="J32" t="s">
        <v>33</v>
      </c>
      <c r="K32" s="10">
        <v>1</v>
      </c>
      <c r="L32">
        <v>45</v>
      </c>
      <c r="M32" t="s">
        <v>35</v>
      </c>
      <c r="N32" t="s">
        <v>36</v>
      </c>
      <c r="O32">
        <v>5.99</v>
      </c>
      <c r="P32">
        <v>136.99</v>
      </c>
    </row>
    <row r="33" spans="1:16" x14ac:dyDescent="0.25">
      <c r="A33" s="10">
        <f t="shared" ref="A33:A34" si="16">A32</f>
        <v>1020</v>
      </c>
      <c r="B33" s="11">
        <f t="shared" ref="B33:B34" si="17">B32</f>
        <v>45701</v>
      </c>
      <c r="C33" s="10" t="str">
        <f t="shared" ref="C33:C34" si="18">C32</f>
        <v>K008</v>
      </c>
      <c r="D33" t="str">
        <f>D32</f>
        <v>Maria</v>
      </c>
      <c r="E33" t="str">
        <f t="shared" ref="E33:E34" si="19">E32</f>
        <v>Huber</v>
      </c>
      <c r="F33" t="str">
        <f t="shared" ref="F33:F34" si="20">F32</f>
        <v>Mariahilfer Str. 5</v>
      </c>
      <c r="G33" t="str">
        <f t="shared" ref="G33:G34" si="21">G32</f>
        <v xml:space="preserve"> 1060 Wien</v>
      </c>
      <c r="H33" s="10" t="str">
        <f t="shared" ref="H33:H34" si="22">H32</f>
        <v xml:space="preserve"> Österreich</v>
      </c>
      <c r="I33" s="10" t="s">
        <v>76</v>
      </c>
      <c r="J33" t="s">
        <v>77</v>
      </c>
      <c r="K33" s="10">
        <v>1</v>
      </c>
      <c r="L33">
        <v>60</v>
      </c>
      <c r="M33" t="s">
        <v>26</v>
      </c>
      <c r="N33" t="s">
        <v>27</v>
      </c>
      <c r="O33">
        <f t="shared" ref="O33:O34" si="23">O32</f>
        <v>5.99</v>
      </c>
      <c r="P33">
        <f t="shared" ref="P33:P34" si="24">P32</f>
        <v>136.99</v>
      </c>
    </row>
    <row r="34" spans="1:16" x14ac:dyDescent="0.25">
      <c r="A34" s="10">
        <f t="shared" si="16"/>
        <v>1020</v>
      </c>
      <c r="B34" s="11">
        <f t="shared" si="17"/>
        <v>45701</v>
      </c>
      <c r="C34" s="10" t="str">
        <f t="shared" si="18"/>
        <v>K008</v>
      </c>
      <c r="D34" t="str">
        <f>D33</f>
        <v>Maria</v>
      </c>
      <c r="E34" t="str">
        <f t="shared" si="19"/>
        <v>Huber</v>
      </c>
      <c r="F34" t="str">
        <f t="shared" si="20"/>
        <v>Mariahilfer Str. 5</v>
      </c>
      <c r="G34" t="str">
        <f t="shared" si="21"/>
        <v xml:space="preserve"> 1060 Wien</v>
      </c>
      <c r="H34" s="10" t="str">
        <f t="shared" si="22"/>
        <v xml:space="preserve"> Österreich</v>
      </c>
      <c r="I34" s="10" t="s">
        <v>23</v>
      </c>
      <c r="J34" t="s">
        <v>24</v>
      </c>
      <c r="K34" s="10">
        <v>1</v>
      </c>
      <c r="L34">
        <v>26</v>
      </c>
      <c r="M34" t="s">
        <v>26</v>
      </c>
      <c r="N34" t="s">
        <v>27</v>
      </c>
      <c r="O34">
        <f t="shared" si="23"/>
        <v>5.99</v>
      </c>
      <c r="P34">
        <f t="shared" si="24"/>
        <v>136.99</v>
      </c>
    </row>
    <row r="36" spans="1:16" ht="23.25" x14ac:dyDescent="0.25">
      <c r="A36" s="12"/>
      <c r="C36"/>
      <c r="H36"/>
      <c r="K36"/>
    </row>
    <row r="37" spans="1:16" x14ac:dyDescent="0.25">
      <c r="C37"/>
      <c r="H37"/>
    </row>
    <row r="38" spans="1:16" x14ac:dyDescent="0.25">
      <c r="C38"/>
      <c r="H38"/>
    </row>
    <row r="39" spans="1:16" x14ac:dyDescent="0.25">
      <c r="C39"/>
      <c r="H39"/>
    </row>
    <row r="40" spans="1:16" x14ac:dyDescent="0.25">
      <c r="C40"/>
      <c r="H40"/>
    </row>
    <row r="41" spans="1:16" x14ac:dyDescent="0.25">
      <c r="C41"/>
      <c r="H41"/>
    </row>
    <row r="42" spans="1:16" x14ac:dyDescent="0.25">
      <c r="C42"/>
      <c r="H42"/>
    </row>
    <row r="43" spans="1:16" x14ac:dyDescent="0.25">
      <c r="C43"/>
      <c r="H43"/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21761-AB67-46D4-BA89-B8CB79759BDC}">
  <dimension ref="A1:U33"/>
  <sheetViews>
    <sheetView zoomScale="120" zoomScaleNormal="120" workbookViewId="0">
      <selection activeCell="C2" sqref="C2"/>
    </sheetView>
  </sheetViews>
  <sheetFormatPr baseColWidth="10" defaultRowHeight="15" x14ac:dyDescent="0.25"/>
  <cols>
    <col min="1" max="1" width="20.28515625" bestFit="1" customWidth="1"/>
    <col min="2" max="2" width="17.140625" bestFit="1" customWidth="1"/>
    <col min="3" max="3" width="17.140625" customWidth="1"/>
    <col min="4" max="4" width="17.140625" bestFit="1" customWidth="1"/>
    <col min="5" max="5" width="20.5703125" bestFit="1" customWidth="1"/>
    <col min="6" max="6" width="14.28515625" customWidth="1"/>
    <col min="8" max="8" width="20.5703125" bestFit="1" customWidth="1"/>
    <col min="9" max="9" width="20.28515625" bestFit="1" customWidth="1"/>
    <col min="10" max="10" width="10.7109375" bestFit="1" customWidth="1"/>
    <col min="11" max="11" width="14" bestFit="1" customWidth="1"/>
    <col min="12" max="12" width="14.7109375" bestFit="1" customWidth="1"/>
    <col min="14" max="14" width="19.140625" bestFit="1" customWidth="1"/>
    <col min="15" max="15" width="12.85546875" bestFit="1" customWidth="1"/>
    <col min="16" max="16" width="15.42578125" bestFit="1" customWidth="1"/>
    <col min="17" max="17" width="14.28515625" bestFit="1" customWidth="1"/>
    <col min="19" max="19" width="16.85546875" bestFit="1" customWidth="1"/>
    <col min="20" max="20" width="20.28515625" style="10" bestFit="1" customWidth="1"/>
    <col min="21" max="21" width="7.42578125" bestFit="1" customWidth="1"/>
  </cols>
  <sheetData>
    <row r="1" spans="1:21" s="6" customFormat="1" x14ac:dyDescent="0.25">
      <c r="A1" s="6" t="s">
        <v>143</v>
      </c>
      <c r="H1" s="6" t="s">
        <v>144</v>
      </c>
      <c r="N1" s="6" t="s">
        <v>145</v>
      </c>
      <c r="S1" s="6" t="s">
        <v>146</v>
      </c>
      <c r="T1" s="22"/>
    </row>
    <row r="2" spans="1:21" x14ac:dyDescent="0.25">
      <c r="A2" s="14" t="s">
        <v>147</v>
      </c>
      <c r="B2" s="3" t="s">
        <v>180</v>
      </c>
      <c r="C2" s="3" t="s">
        <v>181</v>
      </c>
      <c r="D2" s="3" t="s">
        <v>5</v>
      </c>
      <c r="E2" s="3" t="s">
        <v>154</v>
      </c>
      <c r="F2" s="14" t="s">
        <v>142</v>
      </c>
      <c r="H2" s="3" t="s">
        <v>148</v>
      </c>
      <c r="I2" s="3" t="s">
        <v>7</v>
      </c>
      <c r="J2" s="3" t="s">
        <v>9</v>
      </c>
      <c r="K2" s="3" t="s">
        <v>159</v>
      </c>
      <c r="L2" s="3" t="s">
        <v>11</v>
      </c>
      <c r="N2" s="17" t="s">
        <v>152</v>
      </c>
      <c r="O2" s="14" t="s">
        <v>2</v>
      </c>
      <c r="P2" s="14" t="s">
        <v>3</v>
      </c>
      <c r="Q2" s="3" t="s">
        <v>12</v>
      </c>
      <c r="S2" s="17" t="s">
        <v>150</v>
      </c>
      <c r="T2" s="14" t="s">
        <v>6</v>
      </c>
      <c r="U2" s="14" t="s">
        <v>8</v>
      </c>
    </row>
    <row r="3" spans="1:21" x14ac:dyDescent="0.25">
      <c r="A3" s="15" t="s">
        <v>14</v>
      </c>
      <c r="B3" s="4" t="s">
        <v>161</v>
      </c>
      <c r="C3" s="4" t="s">
        <v>162</v>
      </c>
      <c r="D3" s="4" t="s">
        <v>119</v>
      </c>
      <c r="E3" s="4" t="s">
        <v>120</v>
      </c>
      <c r="F3" s="15" t="s">
        <v>121</v>
      </c>
      <c r="H3" s="4" t="s">
        <v>17</v>
      </c>
      <c r="I3" s="4" t="s">
        <v>18</v>
      </c>
      <c r="J3" s="4">
        <v>1200</v>
      </c>
      <c r="K3" s="4" t="s">
        <v>20</v>
      </c>
      <c r="L3" s="4" t="s">
        <v>21</v>
      </c>
      <c r="N3" s="18">
        <v>1001</v>
      </c>
      <c r="O3" s="19">
        <v>45672</v>
      </c>
      <c r="P3" s="15" t="s">
        <v>14</v>
      </c>
      <c r="Q3" s="4">
        <v>5.99</v>
      </c>
      <c r="S3" s="18">
        <v>1001</v>
      </c>
      <c r="T3" s="15" t="s">
        <v>17</v>
      </c>
      <c r="U3" s="15">
        <v>1</v>
      </c>
    </row>
    <row r="4" spans="1:21" x14ac:dyDescent="0.25">
      <c r="A4" s="15" t="s">
        <v>28</v>
      </c>
      <c r="B4" s="4" t="s">
        <v>163</v>
      </c>
      <c r="C4" s="4" t="s">
        <v>162</v>
      </c>
      <c r="D4" s="4" t="s">
        <v>122</v>
      </c>
      <c r="E4" s="4" t="s">
        <v>123</v>
      </c>
      <c r="F4" s="15" t="s">
        <v>121</v>
      </c>
      <c r="H4" s="5" t="s">
        <v>23</v>
      </c>
      <c r="I4" s="5" t="s">
        <v>24</v>
      </c>
      <c r="J4" s="5">
        <v>25.5</v>
      </c>
      <c r="K4" s="5" t="s">
        <v>26</v>
      </c>
      <c r="L4" s="5" t="s">
        <v>27</v>
      </c>
      <c r="N4" s="18">
        <v>1002</v>
      </c>
      <c r="O4" s="19">
        <v>45673</v>
      </c>
      <c r="P4" s="15" t="s">
        <v>28</v>
      </c>
      <c r="Q4" s="4">
        <v>5.99</v>
      </c>
      <c r="S4" s="20">
        <f>S3</f>
        <v>1001</v>
      </c>
      <c r="T4" s="16" t="s">
        <v>23</v>
      </c>
      <c r="U4" s="16">
        <v>1</v>
      </c>
    </row>
    <row r="5" spans="1:21" x14ac:dyDescent="0.25">
      <c r="A5" s="16" t="s">
        <v>38</v>
      </c>
      <c r="B5" s="5" t="s">
        <v>164</v>
      </c>
      <c r="C5" s="5" t="s">
        <v>165</v>
      </c>
      <c r="D5" s="5" t="s">
        <v>124</v>
      </c>
      <c r="E5" s="5" t="s">
        <v>125</v>
      </c>
      <c r="F5" s="16" t="s">
        <v>126</v>
      </c>
      <c r="H5" s="5" t="s">
        <v>32</v>
      </c>
      <c r="I5" s="5" t="s">
        <v>33</v>
      </c>
      <c r="J5" s="5">
        <v>45</v>
      </c>
      <c r="K5" s="5" t="s">
        <v>35</v>
      </c>
      <c r="L5" s="5" t="s">
        <v>36</v>
      </c>
      <c r="N5" s="18">
        <v>1003</v>
      </c>
      <c r="O5" s="19">
        <v>45674</v>
      </c>
      <c r="P5" s="15" t="s">
        <v>14</v>
      </c>
      <c r="Q5" s="4">
        <v>4.99</v>
      </c>
      <c r="S5" s="18">
        <v>1002</v>
      </c>
      <c r="T5" s="15" t="s">
        <v>17</v>
      </c>
      <c r="U5" s="15">
        <v>1</v>
      </c>
    </row>
    <row r="6" spans="1:21" x14ac:dyDescent="0.25">
      <c r="A6" s="16" t="s">
        <v>50</v>
      </c>
      <c r="B6" s="5" t="s">
        <v>166</v>
      </c>
      <c r="C6" s="5" t="s">
        <v>167</v>
      </c>
      <c r="D6" s="5" t="s">
        <v>127</v>
      </c>
      <c r="E6" s="5" t="s">
        <v>128</v>
      </c>
      <c r="F6" s="16" t="s">
        <v>129</v>
      </c>
      <c r="H6" s="5" t="s">
        <v>41</v>
      </c>
      <c r="I6" s="5" t="s">
        <v>42</v>
      </c>
      <c r="J6" s="5">
        <v>2500</v>
      </c>
      <c r="K6" s="5" t="s">
        <v>44</v>
      </c>
      <c r="L6" s="5" t="s">
        <v>45</v>
      </c>
      <c r="N6" s="20">
        <v>1004</v>
      </c>
      <c r="O6" s="21">
        <v>45675</v>
      </c>
      <c r="P6" s="16" t="s">
        <v>38</v>
      </c>
      <c r="Q6" s="5">
        <v>12.99</v>
      </c>
      <c r="S6" s="20">
        <f>S5</f>
        <v>1002</v>
      </c>
      <c r="T6" s="16" t="s">
        <v>32</v>
      </c>
      <c r="U6" s="16">
        <v>2</v>
      </c>
    </row>
    <row r="7" spans="1:21" x14ac:dyDescent="0.25">
      <c r="A7" s="16" t="s">
        <v>59</v>
      </c>
      <c r="B7" s="5" t="s">
        <v>168</v>
      </c>
      <c r="C7" s="5" t="s">
        <v>169</v>
      </c>
      <c r="D7" s="5" t="s">
        <v>130</v>
      </c>
      <c r="E7" s="5" t="s">
        <v>131</v>
      </c>
      <c r="F7" s="16" t="s">
        <v>121</v>
      </c>
      <c r="H7" s="4" t="s">
        <v>47</v>
      </c>
      <c r="I7" s="4" t="s">
        <v>48</v>
      </c>
      <c r="J7" s="4">
        <v>150</v>
      </c>
      <c r="K7" s="4" t="s">
        <v>44</v>
      </c>
      <c r="L7" s="4" t="s">
        <v>45</v>
      </c>
      <c r="N7" s="20">
        <v>1005</v>
      </c>
      <c r="O7" s="21">
        <v>45676</v>
      </c>
      <c r="P7" s="16" t="s">
        <v>50</v>
      </c>
      <c r="Q7" s="5">
        <v>9.99</v>
      </c>
      <c r="S7" s="18">
        <v>1003</v>
      </c>
      <c r="T7" s="15" t="s">
        <v>32</v>
      </c>
      <c r="U7" s="15">
        <v>1</v>
      </c>
    </row>
    <row r="8" spans="1:21" x14ac:dyDescent="0.25">
      <c r="A8" s="15" t="s">
        <v>73</v>
      </c>
      <c r="B8" s="4" t="s">
        <v>176</v>
      </c>
      <c r="C8" s="4" t="s">
        <v>177</v>
      </c>
      <c r="D8" s="4" t="s">
        <v>132</v>
      </c>
      <c r="E8" s="4" t="s">
        <v>133</v>
      </c>
      <c r="F8" s="15" t="s">
        <v>121</v>
      </c>
      <c r="H8" s="5" t="s">
        <v>53</v>
      </c>
      <c r="I8" s="5" t="s">
        <v>54</v>
      </c>
      <c r="J8" s="5">
        <v>350</v>
      </c>
      <c r="K8" s="5" t="s">
        <v>56</v>
      </c>
      <c r="L8" s="5" t="s">
        <v>21</v>
      </c>
      <c r="N8" s="18">
        <v>1006</v>
      </c>
      <c r="O8" s="19">
        <v>45677</v>
      </c>
      <c r="P8" s="15" t="s">
        <v>28</v>
      </c>
      <c r="Q8" s="4">
        <v>4.99</v>
      </c>
      <c r="S8" s="20">
        <v>1004</v>
      </c>
      <c r="T8" s="16" t="s">
        <v>41</v>
      </c>
      <c r="U8" s="16">
        <v>1</v>
      </c>
    </row>
    <row r="9" spans="1:21" x14ac:dyDescent="0.25">
      <c r="A9" s="15" t="s">
        <v>85</v>
      </c>
      <c r="B9" s="4" t="s">
        <v>170</v>
      </c>
      <c r="C9" s="4" t="s">
        <v>171</v>
      </c>
      <c r="D9" s="4" t="s">
        <v>134</v>
      </c>
      <c r="E9" s="4" t="s">
        <v>135</v>
      </c>
      <c r="F9" s="15" t="s">
        <v>129</v>
      </c>
      <c r="H9" s="5" t="s">
        <v>62</v>
      </c>
      <c r="I9" s="5" t="s">
        <v>63</v>
      </c>
      <c r="J9" s="5">
        <v>180</v>
      </c>
      <c r="K9" s="5" t="s">
        <v>65</v>
      </c>
      <c r="L9" s="5" t="s">
        <v>21</v>
      </c>
      <c r="N9" s="20">
        <v>1007</v>
      </c>
      <c r="O9" s="21">
        <v>45678</v>
      </c>
      <c r="P9" s="16" t="s">
        <v>59</v>
      </c>
      <c r="Q9" s="5">
        <v>7.99</v>
      </c>
      <c r="S9" s="18">
        <f>S8</f>
        <v>1004</v>
      </c>
      <c r="T9" s="15" t="s">
        <v>47</v>
      </c>
      <c r="U9" s="15">
        <v>1</v>
      </c>
    </row>
    <row r="10" spans="1:21" x14ac:dyDescent="0.25">
      <c r="A10" s="16" t="s">
        <v>94</v>
      </c>
      <c r="B10" s="5" t="s">
        <v>172</v>
      </c>
      <c r="C10" s="5" t="s">
        <v>173</v>
      </c>
      <c r="D10" s="5" t="s">
        <v>136</v>
      </c>
      <c r="E10" s="5" t="s">
        <v>137</v>
      </c>
      <c r="F10" s="16" t="s">
        <v>126</v>
      </c>
      <c r="H10" s="4" t="s">
        <v>67</v>
      </c>
      <c r="I10" s="4" t="s">
        <v>68</v>
      </c>
      <c r="J10" s="4">
        <v>30</v>
      </c>
      <c r="K10" s="4" t="s">
        <v>65</v>
      </c>
      <c r="L10" s="4" t="s">
        <v>21</v>
      </c>
      <c r="N10" s="18">
        <v>1008</v>
      </c>
      <c r="O10" s="19">
        <v>45689</v>
      </c>
      <c r="P10" s="15" t="s">
        <v>14</v>
      </c>
      <c r="Q10" s="4">
        <v>9.99</v>
      </c>
      <c r="S10" s="20">
        <v>1005</v>
      </c>
      <c r="T10" s="16" t="s">
        <v>53</v>
      </c>
      <c r="U10" s="16">
        <v>2</v>
      </c>
    </row>
    <row r="11" spans="1:21" x14ac:dyDescent="0.25">
      <c r="A11" s="15" t="s">
        <v>100</v>
      </c>
      <c r="B11" s="4" t="s">
        <v>178</v>
      </c>
      <c r="C11" s="4" t="s">
        <v>179</v>
      </c>
      <c r="D11" s="4" t="s">
        <v>138</v>
      </c>
      <c r="E11" s="4" t="s">
        <v>139</v>
      </c>
      <c r="F11" s="15" t="s">
        <v>121</v>
      </c>
      <c r="H11" s="4" t="s">
        <v>76</v>
      </c>
      <c r="I11" s="4" t="s">
        <v>77</v>
      </c>
      <c r="J11" s="4">
        <v>60</v>
      </c>
      <c r="K11" s="4" t="s">
        <v>26</v>
      </c>
      <c r="L11" s="4" t="s">
        <v>27</v>
      </c>
      <c r="N11" s="20">
        <v>1009</v>
      </c>
      <c r="O11" s="21">
        <v>45690</v>
      </c>
      <c r="P11" s="16" t="s">
        <v>38</v>
      </c>
      <c r="Q11" s="5">
        <v>9.99</v>
      </c>
      <c r="S11" s="18">
        <v>1006</v>
      </c>
      <c r="T11" s="15" t="s">
        <v>23</v>
      </c>
      <c r="U11" s="15">
        <v>1</v>
      </c>
    </row>
    <row r="12" spans="1:21" x14ac:dyDescent="0.25">
      <c r="A12" s="15" t="s">
        <v>111</v>
      </c>
      <c r="B12" s="4" t="s">
        <v>174</v>
      </c>
      <c r="C12" s="4" t="s">
        <v>175</v>
      </c>
      <c r="D12" s="4" t="s">
        <v>140</v>
      </c>
      <c r="E12" s="4" t="s">
        <v>128</v>
      </c>
      <c r="F12" s="15" t="s">
        <v>129</v>
      </c>
      <c r="H12" s="5" t="s">
        <v>80</v>
      </c>
      <c r="I12" s="5" t="s">
        <v>81</v>
      </c>
      <c r="J12" s="5">
        <v>95</v>
      </c>
      <c r="K12" s="5" t="s">
        <v>83</v>
      </c>
      <c r="L12" s="5" t="s">
        <v>84</v>
      </c>
      <c r="N12" s="18">
        <v>1010</v>
      </c>
      <c r="O12" s="19">
        <v>45691</v>
      </c>
      <c r="P12" s="15" t="s">
        <v>73</v>
      </c>
      <c r="Q12" s="4">
        <v>4.99</v>
      </c>
      <c r="S12" s="20">
        <v>1007</v>
      </c>
      <c r="T12" s="16" t="s">
        <v>62</v>
      </c>
      <c r="U12" s="16">
        <v>1</v>
      </c>
    </row>
    <row r="13" spans="1:21" x14ac:dyDescent="0.25">
      <c r="H13" s="4" t="s">
        <v>103</v>
      </c>
      <c r="I13" s="4" t="s">
        <v>104</v>
      </c>
      <c r="J13" s="4">
        <v>750</v>
      </c>
      <c r="K13" s="4" t="s">
        <v>106</v>
      </c>
      <c r="L13" s="4" t="s">
        <v>21</v>
      </c>
      <c r="N13" s="18">
        <v>1011</v>
      </c>
      <c r="O13" s="19">
        <v>45692</v>
      </c>
      <c r="P13" s="15" t="s">
        <v>85</v>
      </c>
      <c r="Q13" s="4">
        <v>15.99</v>
      </c>
      <c r="S13" s="18">
        <f t="shared" ref="S13:S14" si="0">S12</f>
        <v>1007</v>
      </c>
      <c r="T13" s="15" t="s">
        <v>67</v>
      </c>
      <c r="U13" s="15">
        <v>3</v>
      </c>
    </row>
    <row r="14" spans="1:21" x14ac:dyDescent="0.25">
      <c r="H14" s="5" t="s">
        <v>108</v>
      </c>
      <c r="I14" s="5" t="s">
        <v>109</v>
      </c>
      <c r="J14" s="5">
        <v>159.99</v>
      </c>
      <c r="K14" s="5" t="s">
        <v>110</v>
      </c>
      <c r="L14" s="5" t="s">
        <v>21</v>
      </c>
      <c r="N14" s="20">
        <v>1012</v>
      </c>
      <c r="O14" s="21">
        <v>45693</v>
      </c>
      <c r="P14" s="16" t="s">
        <v>59</v>
      </c>
      <c r="Q14" s="5">
        <v>5.99</v>
      </c>
      <c r="S14" s="20">
        <f t="shared" si="0"/>
        <v>1007</v>
      </c>
      <c r="T14" s="16" t="s">
        <v>23</v>
      </c>
      <c r="U14" s="16">
        <v>1</v>
      </c>
    </row>
    <row r="15" spans="1:21" x14ac:dyDescent="0.25">
      <c r="N15" s="18">
        <v>1013</v>
      </c>
      <c r="O15" s="19">
        <v>45694</v>
      </c>
      <c r="P15" s="15" t="s">
        <v>28</v>
      </c>
      <c r="Q15" s="4">
        <v>4.99</v>
      </c>
      <c r="S15" s="18">
        <v>1008</v>
      </c>
      <c r="T15" s="15" t="s">
        <v>53</v>
      </c>
      <c r="U15" s="15">
        <v>1</v>
      </c>
    </row>
    <row r="16" spans="1:21" x14ac:dyDescent="0.25">
      <c r="N16" s="20">
        <v>1014</v>
      </c>
      <c r="O16" s="21">
        <v>45695</v>
      </c>
      <c r="P16" s="16" t="s">
        <v>94</v>
      </c>
      <c r="Q16" s="5">
        <v>5.99</v>
      </c>
      <c r="S16" s="20">
        <v>1009</v>
      </c>
      <c r="T16" s="16" t="s">
        <v>17</v>
      </c>
      <c r="U16" s="16">
        <v>1</v>
      </c>
    </row>
    <row r="17" spans="14:21" x14ac:dyDescent="0.25">
      <c r="N17" s="20">
        <v>1015</v>
      </c>
      <c r="O17" s="21">
        <v>45696</v>
      </c>
      <c r="P17" s="16" t="s">
        <v>94</v>
      </c>
      <c r="Q17" s="5">
        <v>5.99</v>
      </c>
      <c r="S17" s="18">
        <v>1010</v>
      </c>
      <c r="T17" s="15" t="s">
        <v>76</v>
      </c>
      <c r="U17" s="15">
        <v>1</v>
      </c>
    </row>
    <row r="18" spans="14:21" x14ac:dyDescent="0.25">
      <c r="N18" s="18">
        <v>1016</v>
      </c>
      <c r="O18" s="19">
        <v>45697</v>
      </c>
      <c r="P18" s="15" t="s">
        <v>100</v>
      </c>
      <c r="Q18" s="4">
        <v>9.99</v>
      </c>
      <c r="S18" s="20">
        <f>S17</f>
        <v>1010</v>
      </c>
      <c r="T18" s="16" t="s">
        <v>80</v>
      </c>
      <c r="U18" s="16">
        <v>1</v>
      </c>
    </row>
    <row r="19" spans="14:21" x14ac:dyDescent="0.25">
      <c r="N19" s="18">
        <v>1017</v>
      </c>
      <c r="O19" s="19">
        <v>45698</v>
      </c>
      <c r="P19" s="15" t="s">
        <v>111</v>
      </c>
      <c r="Q19" s="4">
        <v>9.99</v>
      </c>
      <c r="S19" s="18">
        <v>1011</v>
      </c>
      <c r="T19" s="15" t="s">
        <v>41</v>
      </c>
      <c r="U19" s="15">
        <v>1</v>
      </c>
    </row>
    <row r="20" spans="14:21" x14ac:dyDescent="0.25">
      <c r="N20" s="20">
        <v>1018</v>
      </c>
      <c r="O20" s="21">
        <v>45699</v>
      </c>
      <c r="P20" s="16" t="s">
        <v>14</v>
      </c>
      <c r="Q20" s="5">
        <v>7.99</v>
      </c>
      <c r="S20" s="20">
        <v>1012</v>
      </c>
      <c r="T20" s="16" t="s">
        <v>47</v>
      </c>
      <c r="U20" s="16">
        <v>1</v>
      </c>
    </row>
    <row r="21" spans="14:21" x14ac:dyDescent="0.25">
      <c r="N21" s="20">
        <v>1019</v>
      </c>
      <c r="O21" s="21">
        <v>45700</v>
      </c>
      <c r="P21" s="16" t="s">
        <v>73</v>
      </c>
      <c r="Q21" s="5">
        <v>5.99</v>
      </c>
      <c r="S21" s="18">
        <v>1013</v>
      </c>
      <c r="T21" s="15" t="s">
        <v>80</v>
      </c>
      <c r="U21" s="15">
        <v>1</v>
      </c>
    </row>
    <row r="22" spans="14:21" x14ac:dyDescent="0.25">
      <c r="N22" s="18">
        <v>1020</v>
      </c>
      <c r="O22" s="19">
        <v>45701</v>
      </c>
      <c r="P22" s="15" t="s">
        <v>94</v>
      </c>
      <c r="Q22" s="4">
        <v>5.99</v>
      </c>
      <c r="S22" s="20">
        <v>1014</v>
      </c>
      <c r="T22" s="16" t="s">
        <v>23</v>
      </c>
      <c r="U22" s="16">
        <v>2</v>
      </c>
    </row>
    <row r="23" spans="14:21" x14ac:dyDescent="0.25">
      <c r="S23" s="18">
        <f>S22</f>
        <v>1014</v>
      </c>
      <c r="T23" s="15" t="s">
        <v>76</v>
      </c>
      <c r="U23" s="15">
        <v>1</v>
      </c>
    </row>
    <row r="24" spans="14:21" x14ac:dyDescent="0.25">
      <c r="S24" s="20">
        <v>1015</v>
      </c>
      <c r="T24" s="16" t="s">
        <v>76</v>
      </c>
      <c r="U24" s="16">
        <v>1</v>
      </c>
    </row>
    <row r="25" spans="14:21" x14ac:dyDescent="0.25">
      <c r="S25" s="18">
        <v>1016</v>
      </c>
      <c r="T25" s="15" t="s">
        <v>103</v>
      </c>
      <c r="U25" s="15">
        <v>1</v>
      </c>
    </row>
    <row r="26" spans="14:21" x14ac:dyDescent="0.25">
      <c r="S26" s="20">
        <f>S25</f>
        <v>1016</v>
      </c>
      <c r="T26" s="16" t="s">
        <v>108</v>
      </c>
      <c r="U26" s="16">
        <v>1</v>
      </c>
    </row>
    <row r="27" spans="14:21" x14ac:dyDescent="0.25">
      <c r="S27" s="18">
        <v>1017</v>
      </c>
      <c r="T27" s="15" t="s">
        <v>17</v>
      </c>
      <c r="U27" s="15">
        <v>1</v>
      </c>
    </row>
    <row r="28" spans="14:21" x14ac:dyDescent="0.25">
      <c r="S28" s="20">
        <v>1018</v>
      </c>
      <c r="T28" s="16" t="s">
        <v>62</v>
      </c>
      <c r="U28" s="16">
        <v>1</v>
      </c>
    </row>
    <row r="29" spans="14:21" x14ac:dyDescent="0.25">
      <c r="S29" s="18">
        <f>S28</f>
        <v>1018</v>
      </c>
      <c r="T29" s="15" t="s">
        <v>67</v>
      </c>
      <c r="U29" s="15">
        <v>1</v>
      </c>
    </row>
    <row r="30" spans="14:21" x14ac:dyDescent="0.25">
      <c r="S30" s="20">
        <v>1019</v>
      </c>
      <c r="T30" s="16" t="s">
        <v>47</v>
      </c>
      <c r="U30" s="16">
        <v>1</v>
      </c>
    </row>
    <row r="31" spans="14:21" x14ac:dyDescent="0.25">
      <c r="S31" s="18">
        <v>1020</v>
      </c>
      <c r="T31" s="15" t="s">
        <v>32</v>
      </c>
      <c r="U31" s="15">
        <v>1</v>
      </c>
    </row>
    <row r="32" spans="14:21" x14ac:dyDescent="0.25">
      <c r="S32" s="20">
        <f t="shared" ref="S32:S33" si="1">S31</f>
        <v>1020</v>
      </c>
      <c r="T32" s="16" t="s">
        <v>76</v>
      </c>
      <c r="U32" s="16">
        <v>1</v>
      </c>
    </row>
    <row r="33" spans="19:21" x14ac:dyDescent="0.25">
      <c r="S33" s="18">
        <f t="shared" si="1"/>
        <v>1020</v>
      </c>
      <c r="T33" s="15" t="s">
        <v>23</v>
      </c>
      <c r="U33" s="15">
        <v>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A742-77EE-48A7-AC70-2F4FE20B1598}">
  <dimension ref="A1:T55"/>
  <sheetViews>
    <sheetView zoomScale="110" zoomScaleNormal="110" workbookViewId="0">
      <selection activeCell="G27" sqref="G27:H40"/>
    </sheetView>
  </sheetViews>
  <sheetFormatPr baseColWidth="10" defaultRowHeight="15" x14ac:dyDescent="0.25"/>
  <cols>
    <col min="1" max="1" width="19.7109375" bestFit="1" customWidth="1"/>
    <col min="2" max="2" width="17.140625" bestFit="1" customWidth="1"/>
    <col min="3" max="3" width="17.140625" customWidth="1"/>
    <col min="4" max="4" width="17.140625" bestFit="1" customWidth="1"/>
    <col min="5" max="5" width="20.5703125" bestFit="1" customWidth="1"/>
    <col min="7" max="7" width="19.85546875" bestFit="1" customWidth="1"/>
    <col min="8" max="8" width="20.28515625" bestFit="1" customWidth="1"/>
    <col min="9" max="9" width="10.7109375" bestFit="1" customWidth="1"/>
    <col min="10" max="10" width="13.85546875" bestFit="1" customWidth="1"/>
    <col min="12" max="12" width="18.5703125" bestFit="1" customWidth="1"/>
    <col min="13" max="13" width="12.85546875" bestFit="1" customWidth="1"/>
    <col min="14" max="14" width="19.140625" bestFit="1" customWidth="1"/>
    <col min="15" max="15" width="14.28515625" bestFit="1" customWidth="1"/>
    <col min="18" max="18" width="21.7109375" bestFit="1" customWidth="1"/>
    <col min="19" max="19" width="22.5703125" style="10" bestFit="1" customWidth="1"/>
    <col min="20" max="20" width="9" customWidth="1"/>
  </cols>
  <sheetData>
    <row r="1" spans="1:20" s="7" customFormat="1" ht="24" customHeight="1" x14ac:dyDescent="0.3">
      <c r="A1" s="7" t="s">
        <v>143</v>
      </c>
      <c r="H1" s="7" t="s">
        <v>144</v>
      </c>
      <c r="L1" s="7" t="s">
        <v>145</v>
      </c>
      <c r="R1" s="7" t="s">
        <v>146</v>
      </c>
      <c r="S1" s="23"/>
    </row>
    <row r="2" spans="1:20" x14ac:dyDescent="0.25">
      <c r="A2" s="14" t="s">
        <v>147</v>
      </c>
      <c r="B2" s="3" t="s">
        <v>180</v>
      </c>
      <c r="C2" s="3" t="s">
        <v>181</v>
      </c>
      <c r="D2" s="3" t="s">
        <v>5</v>
      </c>
      <c r="E2" s="3" t="s">
        <v>155</v>
      </c>
      <c r="G2" s="3" t="s">
        <v>148</v>
      </c>
      <c r="H2" s="3" t="s">
        <v>7</v>
      </c>
      <c r="I2" s="3" t="s">
        <v>9</v>
      </c>
      <c r="J2" s="3" t="s">
        <v>149</v>
      </c>
      <c r="L2" s="17" t="s">
        <v>150</v>
      </c>
      <c r="M2" s="14" t="s">
        <v>2</v>
      </c>
      <c r="N2" s="14" t="s">
        <v>160</v>
      </c>
      <c r="O2" s="3" t="s">
        <v>12</v>
      </c>
      <c r="R2" s="17" t="s">
        <v>150</v>
      </c>
      <c r="S2" s="14" t="s">
        <v>182</v>
      </c>
      <c r="T2" s="14" t="s">
        <v>8</v>
      </c>
    </row>
    <row r="3" spans="1:20" x14ac:dyDescent="0.25">
      <c r="A3" s="15" t="s">
        <v>14</v>
      </c>
      <c r="B3" s="4" t="s">
        <v>161</v>
      </c>
      <c r="C3" s="4" t="s">
        <v>162</v>
      </c>
      <c r="D3" s="4" t="s">
        <v>119</v>
      </c>
      <c r="E3" s="4" t="s">
        <v>120</v>
      </c>
      <c r="G3" s="15" t="s">
        <v>17</v>
      </c>
      <c r="H3" s="4" t="s">
        <v>18</v>
      </c>
      <c r="I3" s="4">
        <v>1200</v>
      </c>
      <c r="J3" s="4" t="s">
        <v>20</v>
      </c>
      <c r="L3" s="18">
        <v>1001</v>
      </c>
      <c r="M3" s="19">
        <v>45672</v>
      </c>
      <c r="N3" s="15" t="s">
        <v>14</v>
      </c>
      <c r="O3" s="4">
        <v>5.99</v>
      </c>
      <c r="R3" s="18">
        <v>1001</v>
      </c>
      <c r="S3" s="15" t="s">
        <v>17</v>
      </c>
      <c r="T3" s="15">
        <v>1</v>
      </c>
    </row>
    <row r="4" spans="1:20" x14ac:dyDescent="0.25">
      <c r="A4" s="15" t="s">
        <v>28</v>
      </c>
      <c r="B4" s="4" t="s">
        <v>163</v>
      </c>
      <c r="C4" s="4" t="s">
        <v>162</v>
      </c>
      <c r="D4" s="4" t="s">
        <v>122</v>
      </c>
      <c r="E4" s="4" t="s">
        <v>123</v>
      </c>
      <c r="G4" s="16" t="s">
        <v>23</v>
      </c>
      <c r="H4" s="5" t="s">
        <v>24</v>
      </c>
      <c r="I4" s="5">
        <v>25.5</v>
      </c>
      <c r="J4" s="5" t="s">
        <v>26</v>
      </c>
      <c r="L4" s="18">
        <v>1002</v>
      </c>
      <c r="M4" s="19">
        <v>45673</v>
      </c>
      <c r="N4" s="15" t="s">
        <v>28</v>
      </c>
      <c r="O4" s="4">
        <v>5.99</v>
      </c>
      <c r="R4" s="20">
        <f>R3</f>
        <v>1001</v>
      </c>
      <c r="S4" s="16" t="s">
        <v>23</v>
      </c>
      <c r="T4" s="16">
        <v>1</v>
      </c>
    </row>
    <row r="5" spans="1:20" x14ac:dyDescent="0.25">
      <c r="A5" s="16" t="s">
        <v>38</v>
      </c>
      <c r="B5" s="5" t="s">
        <v>164</v>
      </c>
      <c r="C5" s="5" t="s">
        <v>165</v>
      </c>
      <c r="D5" s="5" t="s">
        <v>124</v>
      </c>
      <c r="E5" s="5" t="s">
        <v>125</v>
      </c>
      <c r="G5" s="16" t="s">
        <v>32</v>
      </c>
      <c r="H5" s="5" t="s">
        <v>33</v>
      </c>
      <c r="I5" s="5">
        <v>45</v>
      </c>
      <c r="J5" s="5" t="s">
        <v>35</v>
      </c>
      <c r="L5" s="18">
        <v>1003</v>
      </c>
      <c r="M5" s="19">
        <v>45674</v>
      </c>
      <c r="N5" s="15" t="s">
        <v>14</v>
      </c>
      <c r="O5" s="4">
        <v>4.99</v>
      </c>
      <c r="R5" s="18">
        <v>1002</v>
      </c>
      <c r="S5" s="15" t="s">
        <v>17</v>
      </c>
      <c r="T5" s="15">
        <v>1</v>
      </c>
    </row>
    <row r="6" spans="1:20" x14ac:dyDescent="0.25">
      <c r="A6" s="16" t="s">
        <v>50</v>
      </c>
      <c r="B6" s="5" t="s">
        <v>166</v>
      </c>
      <c r="C6" s="5" t="s">
        <v>167</v>
      </c>
      <c r="D6" s="5" t="s">
        <v>127</v>
      </c>
      <c r="E6" s="5" t="s">
        <v>128</v>
      </c>
      <c r="G6" s="16" t="s">
        <v>41</v>
      </c>
      <c r="H6" s="5" t="s">
        <v>42</v>
      </c>
      <c r="I6" s="5">
        <v>2500</v>
      </c>
      <c r="J6" s="5" t="s">
        <v>44</v>
      </c>
      <c r="L6" s="20">
        <v>1004</v>
      </c>
      <c r="M6" s="21">
        <v>45675</v>
      </c>
      <c r="N6" s="16" t="s">
        <v>38</v>
      </c>
      <c r="O6" s="5">
        <v>12.99</v>
      </c>
      <c r="R6" s="20">
        <f>R5</f>
        <v>1002</v>
      </c>
      <c r="S6" s="16" t="s">
        <v>32</v>
      </c>
      <c r="T6" s="16">
        <v>2</v>
      </c>
    </row>
    <row r="7" spans="1:20" x14ac:dyDescent="0.25">
      <c r="A7" s="16" t="s">
        <v>59</v>
      </c>
      <c r="B7" s="5" t="s">
        <v>168</v>
      </c>
      <c r="C7" s="5" t="s">
        <v>169</v>
      </c>
      <c r="D7" s="5" t="s">
        <v>130</v>
      </c>
      <c r="E7" s="5" t="s">
        <v>131</v>
      </c>
      <c r="G7" s="15" t="s">
        <v>47</v>
      </c>
      <c r="H7" s="4" t="s">
        <v>48</v>
      </c>
      <c r="I7" s="4">
        <v>150</v>
      </c>
      <c r="J7" s="4" t="s">
        <v>44</v>
      </c>
      <c r="L7" s="20">
        <v>1005</v>
      </c>
      <c r="M7" s="21">
        <v>45676</v>
      </c>
      <c r="N7" s="16" t="s">
        <v>50</v>
      </c>
      <c r="O7" s="5">
        <v>9.99</v>
      </c>
      <c r="R7" s="18">
        <v>1003</v>
      </c>
      <c r="S7" s="15" t="s">
        <v>32</v>
      </c>
      <c r="T7" s="15">
        <v>1</v>
      </c>
    </row>
    <row r="8" spans="1:20" x14ac:dyDescent="0.25">
      <c r="A8" s="15" t="s">
        <v>73</v>
      </c>
      <c r="B8" s="4" t="s">
        <v>176</v>
      </c>
      <c r="C8" s="4" t="s">
        <v>177</v>
      </c>
      <c r="D8" s="4" t="s">
        <v>132</v>
      </c>
      <c r="E8" s="4" t="s">
        <v>133</v>
      </c>
      <c r="G8" s="16" t="s">
        <v>53</v>
      </c>
      <c r="H8" s="5" t="s">
        <v>54</v>
      </c>
      <c r="I8" s="5">
        <v>350</v>
      </c>
      <c r="J8" s="5" t="s">
        <v>56</v>
      </c>
      <c r="L8" s="18">
        <v>1006</v>
      </c>
      <c r="M8" s="19">
        <v>45677</v>
      </c>
      <c r="N8" s="15" t="s">
        <v>28</v>
      </c>
      <c r="O8" s="4">
        <v>4.99</v>
      </c>
      <c r="R8" s="20">
        <v>1004</v>
      </c>
      <c r="S8" s="16" t="s">
        <v>41</v>
      </c>
      <c r="T8" s="16">
        <v>1</v>
      </c>
    </row>
    <row r="9" spans="1:20" x14ac:dyDescent="0.25">
      <c r="A9" s="15" t="s">
        <v>85</v>
      </c>
      <c r="B9" s="4" t="s">
        <v>170</v>
      </c>
      <c r="C9" s="4" t="s">
        <v>171</v>
      </c>
      <c r="D9" s="4" t="s">
        <v>134</v>
      </c>
      <c r="E9" s="4" t="s">
        <v>135</v>
      </c>
      <c r="G9" s="16" t="s">
        <v>62</v>
      </c>
      <c r="H9" s="5" t="s">
        <v>63</v>
      </c>
      <c r="I9" s="5">
        <v>180</v>
      </c>
      <c r="J9" s="5" t="s">
        <v>65</v>
      </c>
      <c r="L9" s="20">
        <v>1007</v>
      </c>
      <c r="M9" s="21">
        <v>45678</v>
      </c>
      <c r="N9" s="16" t="s">
        <v>59</v>
      </c>
      <c r="O9" s="5">
        <v>7.99</v>
      </c>
      <c r="R9" s="18">
        <f>R8</f>
        <v>1004</v>
      </c>
      <c r="S9" s="15" t="s">
        <v>47</v>
      </c>
      <c r="T9" s="15">
        <v>1</v>
      </c>
    </row>
    <row r="10" spans="1:20" x14ac:dyDescent="0.25">
      <c r="A10" s="16" t="s">
        <v>94</v>
      </c>
      <c r="B10" s="5" t="s">
        <v>172</v>
      </c>
      <c r="C10" s="5" t="s">
        <v>173</v>
      </c>
      <c r="D10" s="5" t="s">
        <v>136</v>
      </c>
      <c r="E10" s="5" t="s">
        <v>137</v>
      </c>
      <c r="G10" s="15" t="s">
        <v>67</v>
      </c>
      <c r="H10" s="4" t="s">
        <v>68</v>
      </c>
      <c r="I10" s="4">
        <v>30</v>
      </c>
      <c r="J10" s="4" t="s">
        <v>65</v>
      </c>
      <c r="L10" s="18">
        <v>1008</v>
      </c>
      <c r="M10" s="19">
        <v>45689</v>
      </c>
      <c r="N10" s="15" t="s">
        <v>14</v>
      </c>
      <c r="O10" s="4">
        <v>9.99</v>
      </c>
      <c r="R10" s="20">
        <v>1005</v>
      </c>
      <c r="S10" s="16" t="s">
        <v>53</v>
      </c>
      <c r="T10" s="16">
        <v>2</v>
      </c>
    </row>
    <row r="11" spans="1:20" x14ac:dyDescent="0.25">
      <c r="A11" s="15" t="s">
        <v>100</v>
      </c>
      <c r="B11" s="4" t="s">
        <v>178</v>
      </c>
      <c r="C11" s="4" t="s">
        <v>179</v>
      </c>
      <c r="D11" s="4" t="s">
        <v>138</v>
      </c>
      <c r="E11" s="4" t="s">
        <v>139</v>
      </c>
      <c r="G11" s="15" t="s">
        <v>76</v>
      </c>
      <c r="H11" s="4" t="s">
        <v>77</v>
      </c>
      <c r="I11" s="4">
        <v>60</v>
      </c>
      <c r="J11" s="4" t="s">
        <v>26</v>
      </c>
      <c r="L11" s="20">
        <v>1009</v>
      </c>
      <c r="M11" s="21">
        <v>45690</v>
      </c>
      <c r="N11" s="16" t="s">
        <v>38</v>
      </c>
      <c r="O11" s="5">
        <v>9.99</v>
      </c>
      <c r="R11" s="18">
        <v>1006</v>
      </c>
      <c r="S11" s="15" t="s">
        <v>23</v>
      </c>
      <c r="T11" s="15">
        <v>1</v>
      </c>
    </row>
    <row r="12" spans="1:20" x14ac:dyDescent="0.25">
      <c r="A12" s="15" t="s">
        <v>111</v>
      </c>
      <c r="B12" s="4" t="s">
        <v>174</v>
      </c>
      <c r="C12" s="4" t="s">
        <v>175</v>
      </c>
      <c r="D12" s="4" t="s">
        <v>140</v>
      </c>
      <c r="E12" s="4" t="s">
        <v>128</v>
      </c>
      <c r="G12" s="16" t="s">
        <v>80</v>
      </c>
      <c r="H12" s="5" t="s">
        <v>81</v>
      </c>
      <c r="I12" s="5">
        <v>95</v>
      </c>
      <c r="J12" s="5" t="s">
        <v>83</v>
      </c>
      <c r="L12" s="18">
        <v>1010</v>
      </c>
      <c r="M12" s="19">
        <v>45691</v>
      </c>
      <c r="N12" s="15" t="s">
        <v>73</v>
      </c>
      <c r="O12" s="4">
        <v>4.99</v>
      </c>
      <c r="R12" s="20">
        <v>1007</v>
      </c>
      <c r="S12" s="16" t="s">
        <v>62</v>
      </c>
      <c r="T12" s="16">
        <v>1</v>
      </c>
    </row>
    <row r="13" spans="1:20" x14ac:dyDescent="0.25">
      <c r="G13" s="15" t="s">
        <v>103</v>
      </c>
      <c r="H13" s="4" t="s">
        <v>104</v>
      </c>
      <c r="I13" s="4">
        <v>750</v>
      </c>
      <c r="J13" s="4" t="s">
        <v>106</v>
      </c>
      <c r="L13" s="18">
        <v>1011</v>
      </c>
      <c r="M13" s="19">
        <v>45692</v>
      </c>
      <c r="N13" s="15" t="s">
        <v>85</v>
      </c>
      <c r="O13" s="4">
        <v>15.99</v>
      </c>
      <c r="R13" s="18">
        <f t="shared" ref="R13:R14" si="0">R12</f>
        <v>1007</v>
      </c>
      <c r="S13" s="15" t="s">
        <v>67</v>
      </c>
      <c r="T13" s="15">
        <v>3</v>
      </c>
    </row>
    <row r="14" spans="1:20" x14ac:dyDescent="0.25">
      <c r="G14" s="16" t="s">
        <v>108</v>
      </c>
      <c r="H14" s="5" t="s">
        <v>109</v>
      </c>
      <c r="I14" s="5">
        <v>159.99</v>
      </c>
      <c r="J14" s="5" t="s">
        <v>110</v>
      </c>
      <c r="L14" s="20">
        <v>1012</v>
      </c>
      <c r="M14" s="21">
        <v>45693</v>
      </c>
      <c r="N14" s="16" t="s">
        <v>59</v>
      </c>
      <c r="O14" s="5">
        <v>5.99</v>
      </c>
      <c r="R14" s="20">
        <f t="shared" si="0"/>
        <v>1007</v>
      </c>
      <c r="S14" s="16" t="s">
        <v>23</v>
      </c>
      <c r="T14" s="16">
        <v>1</v>
      </c>
    </row>
    <row r="15" spans="1:20" x14ac:dyDescent="0.25">
      <c r="L15" s="18">
        <v>1013</v>
      </c>
      <c r="M15" s="19">
        <v>45694</v>
      </c>
      <c r="N15" s="15" t="s">
        <v>28</v>
      </c>
      <c r="O15" s="4">
        <v>4.99</v>
      </c>
      <c r="R15" s="18">
        <v>1008</v>
      </c>
      <c r="S15" s="15" t="s">
        <v>53</v>
      </c>
      <c r="T15" s="15">
        <v>1</v>
      </c>
    </row>
    <row r="16" spans="1:20" x14ac:dyDescent="0.25">
      <c r="L16" s="20">
        <v>1014</v>
      </c>
      <c r="M16" s="21">
        <v>45695</v>
      </c>
      <c r="N16" s="16" t="s">
        <v>94</v>
      </c>
      <c r="O16" s="5">
        <v>5.99</v>
      </c>
      <c r="R16" s="20">
        <v>1009</v>
      </c>
      <c r="S16" s="16" t="s">
        <v>17</v>
      </c>
      <c r="T16" s="16">
        <v>1</v>
      </c>
    </row>
    <row r="17" spans="1:20" x14ac:dyDescent="0.25">
      <c r="L17" s="20">
        <v>1015</v>
      </c>
      <c r="M17" s="21">
        <v>45696</v>
      </c>
      <c r="N17" s="16" t="s">
        <v>94</v>
      </c>
      <c r="O17" s="5">
        <v>5.99</v>
      </c>
      <c r="R17" s="18">
        <v>1010</v>
      </c>
      <c r="S17" s="15" t="s">
        <v>76</v>
      </c>
      <c r="T17" s="15">
        <v>1</v>
      </c>
    </row>
    <row r="18" spans="1:20" x14ac:dyDescent="0.25">
      <c r="L18" s="18">
        <v>1016</v>
      </c>
      <c r="M18" s="19">
        <v>45697</v>
      </c>
      <c r="N18" s="15" t="s">
        <v>100</v>
      </c>
      <c r="O18" s="4">
        <v>9.99</v>
      </c>
      <c r="R18" s="20">
        <f>R17</f>
        <v>1010</v>
      </c>
      <c r="S18" s="16" t="s">
        <v>80</v>
      </c>
      <c r="T18" s="16">
        <v>1</v>
      </c>
    </row>
    <row r="19" spans="1:20" x14ac:dyDescent="0.25">
      <c r="L19" s="18">
        <v>1017</v>
      </c>
      <c r="M19" s="19">
        <v>45698</v>
      </c>
      <c r="N19" s="15" t="s">
        <v>111</v>
      </c>
      <c r="O19" s="4">
        <v>9.99</v>
      </c>
      <c r="R19" s="18">
        <v>1011</v>
      </c>
      <c r="S19" s="15" t="s">
        <v>41</v>
      </c>
      <c r="T19" s="15">
        <v>1</v>
      </c>
    </row>
    <row r="20" spans="1:20" x14ac:dyDescent="0.25">
      <c r="L20" s="20">
        <v>1018</v>
      </c>
      <c r="M20" s="21">
        <v>45699</v>
      </c>
      <c r="N20" s="16" t="s">
        <v>14</v>
      </c>
      <c r="O20" s="5">
        <v>7.99</v>
      </c>
      <c r="R20" s="20">
        <v>1012</v>
      </c>
      <c r="S20" s="16" t="s">
        <v>47</v>
      </c>
      <c r="T20" s="16">
        <v>1</v>
      </c>
    </row>
    <row r="21" spans="1:20" x14ac:dyDescent="0.25">
      <c r="L21" s="20">
        <v>1019</v>
      </c>
      <c r="M21" s="21">
        <v>45700</v>
      </c>
      <c r="N21" s="16" t="s">
        <v>73</v>
      </c>
      <c r="O21" s="5">
        <v>5.99</v>
      </c>
      <c r="R21" s="18">
        <v>1013</v>
      </c>
      <c r="S21" s="15" t="s">
        <v>80</v>
      </c>
      <c r="T21" s="15">
        <v>1</v>
      </c>
    </row>
    <row r="22" spans="1:20" x14ac:dyDescent="0.25">
      <c r="L22" s="18">
        <v>1020</v>
      </c>
      <c r="M22" s="19">
        <v>45701</v>
      </c>
      <c r="N22" s="15" t="s">
        <v>94</v>
      </c>
      <c r="O22" s="4">
        <v>5.99</v>
      </c>
      <c r="R22" s="20">
        <v>1014</v>
      </c>
      <c r="S22" s="16" t="s">
        <v>23</v>
      </c>
      <c r="T22" s="16">
        <v>2</v>
      </c>
    </row>
    <row r="23" spans="1:20" x14ac:dyDescent="0.25">
      <c r="R23" s="18">
        <f>R22</f>
        <v>1014</v>
      </c>
      <c r="S23" s="15" t="s">
        <v>76</v>
      </c>
      <c r="T23" s="15">
        <v>1</v>
      </c>
    </row>
    <row r="24" spans="1:20" x14ac:dyDescent="0.25">
      <c r="R24" s="20">
        <v>1015</v>
      </c>
      <c r="S24" s="16" t="s">
        <v>76</v>
      </c>
      <c r="T24" s="16">
        <v>1</v>
      </c>
    </row>
    <row r="25" spans="1:20" x14ac:dyDescent="0.25">
      <c r="R25" s="18">
        <v>1016</v>
      </c>
      <c r="S25" s="15" t="s">
        <v>103</v>
      </c>
      <c r="T25" s="15">
        <v>1</v>
      </c>
    </row>
    <row r="26" spans="1:20" x14ac:dyDescent="0.25">
      <c r="R26" s="20">
        <f>R25</f>
        <v>1016</v>
      </c>
      <c r="S26" s="16" t="s">
        <v>108</v>
      </c>
      <c r="T26" s="16">
        <v>1</v>
      </c>
    </row>
    <row r="27" spans="1:20" ht="18.75" x14ac:dyDescent="0.3">
      <c r="A27" s="6" t="s">
        <v>158</v>
      </c>
      <c r="G27" s="7" t="s">
        <v>153</v>
      </c>
      <c r="R27" s="18">
        <v>1017</v>
      </c>
      <c r="S27" s="15" t="s">
        <v>17</v>
      </c>
      <c r="T27" s="15">
        <v>1</v>
      </c>
    </row>
    <row r="28" spans="1:20" x14ac:dyDescent="0.25">
      <c r="A28" s="24" t="s">
        <v>157</v>
      </c>
      <c r="B28" s="14" t="s">
        <v>156</v>
      </c>
      <c r="G28" s="3" t="s">
        <v>151</v>
      </c>
      <c r="H28" s="3" t="s">
        <v>11</v>
      </c>
      <c r="R28" s="20">
        <v>1018</v>
      </c>
      <c r="S28" s="16" t="s">
        <v>62</v>
      </c>
      <c r="T28" s="16">
        <v>1</v>
      </c>
    </row>
    <row r="29" spans="1:20" ht="18.75" x14ac:dyDescent="0.3">
      <c r="A29" s="4" t="s">
        <v>120</v>
      </c>
      <c r="B29" s="15" t="s">
        <v>121</v>
      </c>
      <c r="G29" s="4" t="s">
        <v>20</v>
      </c>
      <c r="H29" s="4" t="s">
        <v>21</v>
      </c>
      <c r="M29" s="7"/>
      <c r="R29" s="18">
        <f>R28</f>
        <v>1018</v>
      </c>
      <c r="S29" s="15" t="s">
        <v>67</v>
      </c>
      <c r="T29" s="15">
        <v>1</v>
      </c>
    </row>
    <row r="30" spans="1:20" x14ac:dyDescent="0.25">
      <c r="A30" s="4" t="s">
        <v>123</v>
      </c>
      <c r="B30" s="15" t="s">
        <v>121</v>
      </c>
      <c r="G30" s="5" t="s">
        <v>26</v>
      </c>
      <c r="H30" s="5" t="s">
        <v>27</v>
      </c>
      <c r="R30" s="20">
        <v>1019</v>
      </c>
      <c r="S30" s="16" t="s">
        <v>47</v>
      </c>
      <c r="T30" s="16">
        <v>1</v>
      </c>
    </row>
    <row r="31" spans="1:20" x14ac:dyDescent="0.25">
      <c r="A31" s="5" t="s">
        <v>125</v>
      </c>
      <c r="B31" s="16" t="s">
        <v>126</v>
      </c>
      <c r="G31" s="5" t="s">
        <v>35</v>
      </c>
      <c r="H31" s="5" t="s">
        <v>36</v>
      </c>
      <c r="R31" s="18">
        <v>1020</v>
      </c>
      <c r="S31" s="15" t="s">
        <v>32</v>
      </c>
      <c r="T31" s="15">
        <v>1</v>
      </c>
    </row>
    <row r="32" spans="1:20" x14ac:dyDescent="0.25">
      <c r="A32" s="5" t="s">
        <v>128</v>
      </c>
      <c r="B32" s="16" t="s">
        <v>129</v>
      </c>
      <c r="G32" s="5" t="s">
        <v>44</v>
      </c>
      <c r="H32" s="5" t="s">
        <v>45</v>
      </c>
      <c r="R32" s="20">
        <f t="shared" ref="R32:R33" si="1">R31</f>
        <v>1020</v>
      </c>
      <c r="S32" s="16" t="s">
        <v>76</v>
      </c>
      <c r="T32" s="16">
        <v>1</v>
      </c>
    </row>
    <row r="33" spans="1:20" x14ac:dyDescent="0.25">
      <c r="A33" s="5" t="s">
        <v>131</v>
      </c>
      <c r="B33" s="16" t="s">
        <v>121</v>
      </c>
      <c r="G33" s="4" t="s">
        <v>44</v>
      </c>
      <c r="H33" s="4" t="s">
        <v>45</v>
      </c>
      <c r="R33" s="18">
        <f t="shared" si="1"/>
        <v>1020</v>
      </c>
      <c r="S33" s="15" t="s">
        <v>23</v>
      </c>
      <c r="T33" s="15">
        <v>1</v>
      </c>
    </row>
    <row r="34" spans="1:20" x14ac:dyDescent="0.25">
      <c r="A34" s="4" t="s">
        <v>133</v>
      </c>
      <c r="B34" s="15" t="s">
        <v>121</v>
      </c>
      <c r="G34" s="5" t="s">
        <v>56</v>
      </c>
      <c r="H34" s="5" t="s">
        <v>21</v>
      </c>
      <c r="Q34" s="10"/>
      <c r="S34"/>
    </row>
    <row r="35" spans="1:20" x14ac:dyDescent="0.25">
      <c r="A35" s="4" t="s">
        <v>135</v>
      </c>
      <c r="B35" s="15" t="s">
        <v>129</v>
      </c>
      <c r="G35" s="5" t="s">
        <v>65</v>
      </c>
      <c r="H35" s="5" t="s">
        <v>21</v>
      </c>
    </row>
    <row r="36" spans="1:20" x14ac:dyDescent="0.25">
      <c r="A36" s="5" t="s">
        <v>137</v>
      </c>
      <c r="B36" s="16" t="s">
        <v>126</v>
      </c>
      <c r="G36" s="4" t="s">
        <v>65</v>
      </c>
      <c r="H36" s="4" t="s">
        <v>21</v>
      </c>
    </row>
    <row r="37" spans="1:20" x14ac:dyDescent="0.25">
      <c r="A37" s="4" t="s">
        <v>139</v>
      </c>
      <c r="B37" s="15" t="s">
        <v>121</v>
      </c>
      <c r="G37" s="4" t="s">
        <v>26</v>
      </c>
      <c r="H37" s="4" t="s">
        <v>27</v>
      </c>
    </row>
    <row r="38" spans="1:20" x14ac:dyDescent="0.25">
      <c r="G38" s="5" t="s">
        <v>83</v>
      </c>
      <c r="H38" s="5" t="s">
        <v>84</v>
      </c>
    </row>
    <row r="39" spans="1:20" x14ac:dyDescent="0.25">
      <c r="G39" s="4" t="s">
        <v>106</v>
      </c>
      <c r="H39" s="4" t="s">
        <v>21</v>
      </c>
    </row>
    <row r="40" spans="1:20" x14ac:dyDescent="0.25">
      <c r="G40" s="5" t="s">
        <v>110</v>
      </c>
      <c r="H40" s="5" t="s">
        <v>21</v>
      </c>
    </row>
    <row r="48" spans="1:20" x14ac:dyDescent="0.25">
      <c r="Q48" s="10"/>
      <c r="S48"/>
    </row>
    <row r="49" spans="17:19" x14ac:dyDescent="0.25">
      <c r="Q49" s="10"/>
      <c r="S49"/>
    </row>
    <row r="50" spans="17:19" x14ac:dyDescent="0.25">
      <c r="Q50" s="10"/>
      <c r="S50"/>
    </row>
    <row r="51" spans="17:19" x14ac:dyDescent="0.25">
      <c r="Q51" s="10"/>
      <c r="S51"/>
    </row>
    <row r="52" spans="17:19" x14ac:dyDescent="0.25">
      <c r="Q52" s="10"/>
      <c r="S52"/>
    </row>
    <row r="53" spans="17:19" x14ac:dyDescent="0.25">
      <c r="Q53" s="10"/>
      <c r="S53"/>
    </row>
    <row r="54" spans="17:19" x14ac:dyDescent="0.25">
      <c r="Q54" s="10"/>
      <c r="S54"/>
    </row>
    <row r="55" spans="17:19" x14ac:dyDescent="0.25">
      <c r="Q55" s="10"/>
      <c r="S55"/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32C2-59E2-4EB9-ACDF-CAB52EC707DA}">
  <dimension ref="A1:E12"/>
  <sheetViews>
    <sheetView workbookViewId="0"/>
  </sheetViews>
  <sheetFormatPr baseColWidth="10" defaultRowHeight="15" x14ac:dyDescent="0.25"/>
  <cols>
    <col min="1" max="1" width="19.7109375" bestFit="1" customWidth="1"/>
    <col min="2" max="2" width="9.140625" bestFit="1" customWidth="1"/>
    <col min="3" max="3" width="12.28515625" bestFit="1" customWidth="1"/>
    <col min="4" max="4" width="17.140625" bestFit="1" customWidth="1"/>
    <col min="5" max="5" width="20.5703125" bestFit="1" customWidth="1"/>
  </cols>
  <sheetData>
    <row r="1" spans="1:5" ht="18.75" x14ac:dyDescent="0.3">
      <c r="A1" s="7" t="s">
        <v>143</v>
      </c>
      <c r="B1" s="7"/>
      <c r="C1" s="7"/>
      <c r="D1" s="7"/>
      <c r="E1" s="7"/>
    </row>
    <row r="2" spans="1:5" x14ac:dyDescent="0.25">
      <c r="A2" s="14" t="s">
        <v>147</v>
      </c>
      <c r="B2" s="3" t="s">
        <v>180</v>
      </c>
      <c r="C2" s="3" t="s">
        <v>181</v>
      </c>
      <c r="D2" s="3" t="s">
        <v>5</v>
      </c>
      <c r="E2" s="3" t="s">
        <v>155</v>
      </c>
    </row>
    <row r="3" spans="1:5" x14ac:dyDescent="0.25">
      <c r="A3" s="15" t="s">
        <v>14</v>
      </c>
      <c r="B3" s="4" t="s">
        <v>161</v>
      </c>
      <c r="C3" s="4" t="s">
        <v>162</v>
      </c>
      <c r="D3" s="4" t="s">
        <v>119</v>
      </c>
      <c r="E3" s="4" t="s">
        <v>120</v>
      </c>
    </row>
    <row r="4" spans="1:5" x14ac:dyDescent="0.25">
      <c r="A4" s="15" t="s">
        <v>28</v>
      </c>
      <c r="B4" s="4" t="s">
        <v>163</v>
      </c>
      <c r="C4" s="4" t="s">
        <v>162</v>
      </c>
      <c r="D4" s="4" t="s">
        <v>122</v>
      </c>
      <c r="E4" s="4" t="s">
        <v>123</v>
      </c>
    </row>
    <row r="5" spans="1:5" x14ac:dyDescent="0.25">
      <c r="A5" s="16" t="s">
        <v>38</v>
      </c>
      <c r="B5" s="5" t="s">
        <v>164</v>
      </c>
      <c r="C5" s="5" t="s">
        <v>165</v>
      </c>
      <c r="D5" s="5" t="s">
        <v>124</v>
      </c>
      <c r="E5" s="5" t="s">
        <v>125</v>
      </c>
    </row>
    <row r="6" spans="1:5" x14ac:dyDescent="0.25">
      <c r="A6" s="16" t="s">
        <v>50</v>
      </c>
      <c r="B6" s="5" t="s">
        <v>166</v>
      </c>
      <c r="C6" s="5" t="s">
        <v>167</v>
      </c>
      <c r="D6" s="5" t="s">
        <v>127</v>
      </c>
      <c r="E6" s="5" t="s">
        <v>128</v>
      </c>
    </row>
    <row r="7" spans="1:5" x14ac:dyDescent="0.25">
      <c r="A7" s="16" t="s">
        <v>59</v>
      </c>
      <c r="B7" s="5" t="s">
        <v>168</v>
      </c>
      <c r="C7" s="5" t="s">
        <v>169</v>
      </c>
      <c r="D7" s="5" t="s">
        <v>130</v>
      </c>
      <c r="E7" s="5" t="s">
        <v>131</v>
      </c>
    </row>
    <row r="8" spans="1:5" x14ac:dyDescent="0.25">
      <c r="A8" s="15" t="s">
        <v>73</v>
      </c>
      <c r="B8" s="4" t="s">
        <v>176</v>
      </c>
      <c r="C8" s="4" t="s">
        <v>177</v>
      </c>
      <c r="D8" s="4" t="s">
        <v>132</v>
      </c>
      <c r="E8" s="4" t="s">
        <v>133</v>
      </c>
    </row>
    <row r="9" spans="1:5" x14ac:dyDescent="0.25">
      <c r="A9" s="15" t="s">
        <v>85</v>
      </c>
      <c r="B9" s="4" t="s">
        <v>170</v>
      </c>
      <c r="C9" s="4" t="s">
        <v>171</v>
      </c>
      <c r="D9" s="4" t="s">
        <v>134</v>
      </c>
      <c r="E9" s="4" t="s">
        <v>135</v>
      </c>
    </row>
    <row r="10" spans="1:5" x14ac:dyDescent="0.25">
      <c r="A10" s="16" t="s">
        <v>94</v>
      </c>
      <c r="B10" s="5" t="s">
        <v>172</v>
      </c>
      <c r="C10" s="5" t="s">
        <v>173</v>
      </c>
      <c r="D10" s="5" t="s">
        <v>136</v>
      </c>
      <c r="E10" s="5" t="s">
        <v>137</v>
      </c>
    </row>
    <row r="11" spans="1:5" x14ac:dyDescent="0.25">
      <c r="A11" s="15" t="s">
        <v>100</v>
      </c>
      <c r="B11" s="4" t="s">
        <v>178</v>
      </c>
      <c r="C11" s="4" t="s">
        <v>179</v>
      </c>
      <c r="D11" s="4" t="s">
        <v>138</v>
      </c>
      <c r="E11" s="4" t="s">
        <v>139</v>
      </c>
    </row>
    <row r="12" spans="1:5" x14ac:dyDescent="0.25">
      <c r="A12" s="15" t="s">
        <v>111</v>
      </c>
      <c r="B12" s="4" t="s">
        <v>174</v>
      </c>
      <c r="C12" s="4" t="s">
        <v>175</v>
      </c>
      <c r="D12" s="4" t="s">
        <v>140</v>
      </c>
      <c r="E12" s="4" t="s">
        <v>128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8848-B565-4070-87B3-EE32214ECB2D}">
  <dimension ref="A1:D14"/>
  <sheetViews>
    <sheetView workbookViewId="0">
      <selection activeCell="H25" sqref="H25"/>
    </sheetView>
  </sheetViews>
  <sheetFormatPr baseColWidth="10" defaultRowHeight="15" x14ac:dyDescent="0.25"/>
  <cols>
    <col min="1" max="1" width="19.85546875" bestFit="1" customWidth="1"/>
    <col min="2" max="2" width="20.28515625" bestFit="1" customWidth="1"/>
    <col min="3" max="3" width="10.7109375" bestFit="1" customWidth="1"/>
    <col min="4" max="4" width="13.85546875" bestFit="1" customWidth="1"/>
  </cols>
  <sheetData>
    <row r="1" spans="1:4" ht="18.75" x14ac:dyDescent="0.3">
      <c r="A1" s="7"/>
      <c r="B1" s="7" t="s">
        <v>144</v>
      </c>
      <c r="C1" s="7"/>
      <c r="D1" s="7"/>
    </row>
    <row r="2" spans="1:4" x14ac:dyDescent="0.25">
      <c r="A2" s="3" t="s">
        <v>148</v>
      </c>
      <c r="B2" s="3" t="s">
        <v>7</v>
      </c>
      <c r="C2" s="3" t="s">
        <v>9</v>
      </c>
      <c r="D2" s="3" t="s">
        <v>149</v>
      </c>
    </row>
    <row r="3" spans="1:4" x14ac:dyDescent="0.25">
      <c r="A3" s="15" t="s">
        <v>17</v>
      </c>
      <c r="B3" s="4" t="s">
        <v>18</v>
      </c>
      <c r="C3" s="4">
        <v>1200</v>
      </c>
      <c r="D3" s="4" t="s">
        <v>20</v>
      </c>
    </row>
    <row r="4" spans="1:4" x14ac:dyDescent="0.25">
      <c r="A4" s="16" t="s">
        <v>23</v>
      </c>
      <c r="B4" s="5" t="s">
        <v>24</v>
      </c>
      <c r="C4" s="5">
        <v>25.5</v>
      </c>
      <c r="D4" s="5" t="s">
        <v>26</v>
      </c>
    </row>
    <row r="5" spans="1:4" x14ac:dyDescent="0.25">
      <c r="A5" s="16" t="s">
        <v>32</v>
      </c>
      <c r="B5" s="5" t="s">
        <v>33</v>
      </c>
      <c r="C5" s="5">
        <v>45</v>
      </c>
      <c r="D5" s="5" t="s">
        <v>35</v>
      </c>
    </row>
    <row r="6" spans="1:4" x14ac:dyDescent="0.25">
      <c r="A6" s="16" t="s">
        <v>41</v>
      </c>
      <c r="B6" s="5" t="s">
        <v>42</v>
      </c>
      <c r="C6" s="5">
        <v>2500</v>
      </c>
      <c r="D6" s="5" t="s">
        <v>44</v>
      </c>
    </row>
    <row r="7" spans="1:4" x14ac:dyDescent="0.25">
      <c r="A7" s="15" t="s">
        <v>47</v>
      </c>
      <c r="B7" s="4" t="s">
        <v>48</v>
      </c>
      <c r="C7" s="4">
        <v>150</v>
      </c>
      <c r="D7" s="4" t="s">
        <v>44</v>
      </c>
    </row>
    <row r="8" spans="1:4" x14ac:dyDescent="0.25">
      <c r="A8" s="16" t="s">
        <v>53</v>
      </c>
      <c r="B8" s="5" t="s">
        <v>54</v>
      </c>
      <c r="C8" s="5">
        <v>350</v>
      </c>
      <c r="D8" s="5" t="s">
        <v>56</v>
      </c>
    </row>
    <row r="9" spans="1:4" x14ac:dyDescent="0.25">
      <c r="A9" s="16" t="s">
        <v>62</v>
      </c>
      <c r="B9" s="5" t="s">
        <v>63</v>
      </c>
      <c r="C9" s="5">
        <v>180</v>
      </c>
      <c r="D9" s="5" t="s">
        <v>65</v>
      </c>
    </row>
    <row r="10" spans="1:4" x14ac:dyDescent="0.25">
      <c r="A10" s="15" t="s">
        <v>67</v>
      </c>
      <c r="B10" s="4" t="s">
        <v>68</v>
      </c>
      <c r="C10" s="4">
        <v>30</v>
      </c>
      <c r="D10" s="4" t="s">
        <v>65</v>
      </c>
    </row>
    <row r="11" spans="1:4" x14ac:dyDescent="0.25">
      <c r="A11" s="15" t="s">
        <v>76</v>
      </c>
      <c r="B11" s="4" t="s">
        <v>77</v>
      </c>
      <c r="C11" s="4">
        <v>60</v>
      </c>
      <c r="D11" s="4" t="s">
        <v>26</v>
      </c>
    </row>
    <row r="12" spans="1:4" x14ac:dyDescent="0.25">
      <c r="A12" s="16" t="s">
        <v>80</v>
      </c>
      <c r="B12" s="5" t="s">
        <v>81</v>
      </c>
      <c r="C12" s="5">
        <v>95</v>
      </c>
      <c r="D12" s="5" t="s">
        <v>83</v>
      </c>
    </row>
    <row r="13" spans="1:4" x14ac:dyDescent="0.25">
      <c r="A13" s="15" t="s">
        <v>103</v>
      </c>
      <c r="B13" s="4" t="s">
        <v>104</v>
      </c>
      <c r="C13" s="4">
        <v>750</v>
      </c>
      <c r="D13" s="4" t="s">
        <v>106</v>
      </c>
    </row>
    <row r="14" spans="1:4" x14ac:dyDescent="0.25">
      <c r="A14" s="16" t="s">
        <v>108</v>
      </c>
      <c r="B14" s="5" t="s">
        <v>109</v>
      </c>
      <c r="C14" s="5">
        <v>159.99</v>
      </c>
      <c r="D14" s="5" t="s">
        <v>110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2B76E-6D7F-48A9-8D9C-1E8C1B1066CB}">
  <dimension ref="A1:D22"/>
  <sheetViews>
    <sheetView tabSelected="1" workbookViewId="0">
      <selection activeCell="B1" sqref="B1:B1048576"/>
    </sheetView>
  </sheetViews>
  <sheetFormatPr baseColWidth="10" defaultRowHeight="15" x14ac:dyDescent="0.25"/>
  <cols>
    <col min="1" max="1" width="18.5703125" bestFit="1" customWidth="1"/>
    <col min="2" max="2" width="11.7109375" style="29" customWidth="1"/>
    <col min="3" max="3" width="19.140625" bestFit="1" customWidth="1"/>
    <col min="4" max="4" width="14.28515625" bestFit="1" customWidth="1"/>
  </cols>
  <sheetData>
    <row r="1" spans="1:4" ht="18.75" x14ac:dyDescent="0.3">
      <c r="A1" s="7"/>
      <c r="B1" s="25"/>
      <c r="C1" s="7"/>
      <c r="D1" s="7"/>
    </row>
    <row r="2" spans="1:4" x14ac:dyDescent="0.25">
      <c r="A2" s="17"/>
      <c r="B2" s="26"/>
      <c r="C2" s="14"/>
      <c r="D2" s="3"/>
    </row>
    <row r="3" spans="1:4" x14ac:dyDescent="0.25">
      <c r="A3" s="18">
        <v>1001</v>
      </c>
      <c r="B3" s="27">
        <v>45672</v>
      </c>
      <c r="C3" s="15" t="s">
        <v>14</v>
      </c>
      <c r="D3" s="4">
        <v>5.99</v>
      </c>
    </row>
    <row r="4" spans="1:4" x14ac:dyDescent="0.25">
      <c r="A4" s="18">
        <v>1002</v>
      </c>
      <c r="B4" s="27">
        <v>45673</v>
      </c>
      <c r="C4" s="15" t="s">
        <v>28</v>
      </c>
      <c r="D4" s="4">
        <v>5.99</v>
      </c>
    </row>
    <row r="5" spans="1:4" x14ac:dyDescent="0.25">
      <c r="A5" s="18">
        <v>1003</v>
      </c>
      <c r="B5" s="27">
        <v>45674</v>
      </c>
      <c r="C5" s="15" t="s">
        <v>14</v>
      </c>
      <c r="D5" s="4">
        <v>4.99</v>
      </c>
    </row>
    <row r="6" spans="1:4" x14ac:dyDescent="0.25">
      <c r="A6" s="20">
        <v>1004</v>
      </c>
      <c r="B6" s="28">
        <v>45675</v>
      </c>
      <c r="C6" s="16" t="s">
        <v>38</v>
      </c>
      <c r="D6" s="5">
        <v>12.99</v>
      </c>
    </row>
    <row r="7" spans="1:4" x14ac:dyDescent="0.25">
      <c r="A7" s="20">
        <v>1005</v>
      </c>
      <c r="B7" s="28">
        <v>45676</v>
      </c>
      <c r="C7" s="16" t="s">
        <v>50</v>
      </c>
      <c r="D7" s="5">
        <v>9.99</v>
      </c>
    </row>
    <row r="8" spans="1:4" x14ac:dyDescent="0.25">
      <c r="A8" s="18">
        <v>1006</v>
      </c>
      <c r="B8" s="27">
        <v>45677</v>
      </c>
      <c r="C8" s="15" t="s">
        <v>28</v>
      </c>
      <c r="D8" s="4">
        <v>4.99</v>
      </c>
    </row>
    <row r="9" spans="1:4" x14ac:dyDescent="0.25">
      <c r="A9" s="20">
        <v>1007</v>
      </c>
      <c r="B9" s="28">
        <v>45678</v>
      </c>
      <c r="C9" s="16" t="s">
        <v>59</v>
      </c>
      <c r="D9" s="5">
        <v>7.99</v>
      </c>
    </row>
    <row r="10" spans="1:4" x14ac:dyDescent="0.25">
      <c r="A10" s="18">
        <v>1008</v>
      </c>
      <c r="B10" s="27">
        <v>45689</v>
      </c>
      <c r="C10" s="15" t="s">
        <v>14</v>
      </c>
      <c r="D10" s="4">
        <v>9.99</v>
      </c>
    </row>
    <row r="11" spans="1:4" x14ac:dyDescent="0.25">
      <c r="A11" s="20">
        <v>1009</v>
      </c>
      <c r="B11" s="28">
        <v>45690</v>
      </c>
      <c r="C11" s="16" t="s">
        <v>38</v>
      </c>
      <c r="D11" s="5">
        <v>9.99</v>
      </c>
    </row>
    <row r="12" spans="1:4" x14ac:dyDescent="0.25">
      <c r="A12" s="18">
        <v>1010</v>
      </c>
      <c r="B12" s="27">
        <v>45691</v>
      </c>
      <c r="C12" s="15" t="s">
        <v>73</v>
      </c>
      <c r="D12" s="4">
        <v>4.99</v>
      </c>
    </row>
    <row r="13" spans="1:4" x14ac:dyDescent="0.25">
      <c r="A13" s="18">
        <v>1011</v>
      </c>
      <c r="B13" s="27">
        <v>45692</v>
      </c>
      <c r="C13" s="15" t="s">
        <v>85</v>
      </c>
      <c r="D13" s="4">
        <v>15.99</v>
      </c>
    </row>
    <row r="14" spans="1:4" x14ac:dyDescent="0.25">
      <c r="A14" s="20">
        <v>1012</v>
      </c>
      <c r="B14" s="28">
        <v>45693</v>
      </c>
      <c r="C14" s="16" t="s">
        <v>59</v>
      </c>
      <c r="D14" s="5">
        <v>5.99</v>
      </c>
    </row>
    <row r="15" spans="1:4" x14ac:dyDescent="0.25">
      <c r="A15" s="18">
        <v>1013</v>
      </c>
      <c r="B15" s="27">
        <v>45694</v>
      </c>
      <c r="C15" s="15" t="s">
        <v>28</v>
      </c>
      <c r="D15" s="4">
        <v>4.99</v>
      </c>
    </row>
    <row r="16" spans="1:4" x14ac:dyDescent="0.25">
      <c r="A16" s="20">
        <v>1014</v>
      </c>
      <c r="B16" s="28">
        <v>45695</v>
      </c>
      <c r="C16" s="16" t="s">
        <v>94</v>
      </c>
      <c r="D16" s="5">
        <v>5.99</v>
      </c>
    </row>
    <row r="17" spans="1:4" x14ac:dyDescent="0.25">
      <c r="A17" s="20">
        <v>1015</v>
      </c>
      <c r="B17" s="28">
        <v>45696</v>
      </c>
      <c r="C17" s="16" t="s">
        <v>94</v>
      </c>
      <c r="D17" s="5">
        <v>5.99</v>
      </c>
    </row>
    <row r="18" spans="1:4" x14ac:dyDescent="0.25">
      <c r="A18" s="18">
        <v>1016</v>
      </c>
      <c r="B18" s="27">
        <v>45697</v>
      </c>
      <c r="C18" s="15" t="s">
        <v>100</v>
      </c>
      <c r="D18" s="4">
        <v>9.99</v>
      </c>
    </row>
    <row r="19" spans="1:4" x14ac:dyDescent="0.25">
      <c r="A19" s="18">
        <v>1017</v>
      </c>
      <c r="B19" s="27">
        <v>45698</v>
      </c>
      <c r="C19" s="15" t="s">
        <v>111</v>
      </c>
      <c r="D19" s="4">
        <v>9.99</v>
      </c>
    </row>
    <row r="20" spans="1:4" x14ac:dyDescent="0.25">
      <c r="A20" s="20">
        <v>1018</v>
      </c>
      <c r="B20" s="28">
        <v>45699</v>
      </c>
      <c r="C20" s="16" t="s">
        <v>14</v>
      </c>
      <c r="D20" s="5">
        <v>7.99</v>
      </c>
    </row>
    <row r="21" spans="1:4" x14ac:dyDescent="0.25">
      <c r="A21" s="20">
        <v>1019</v>
      </c>
      <c r="B21" s="28">
        <v>45700</v>
      </c>
      <c r="C21" s="16" t="s">
        <v>73</v>
      </c>
      <c r="D21" s="5">
        <v>5.99</v>
      </c>
    </row>
    <row r="22" spans="1:4" x14ac:dyDescent="0.25">
      <c r="A22" s="18">
        <v>1020</v>
      </c>
      <c r="B22" s="27">
        <v>45701</v>
      </c>
      <c r="C22" s="15" t="s">
        <v>94</v>
      </c>
      <c r="D22" s="4">
        <v>5.99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F5A2-6B43-4255-A07B-FF7E1C93F228}">
  <dimension ref="A1:C33"/>
  <sheetViews>
    <sheetView workbookViewId="0">
      <selection activeCell="F26" sqref="F26"/>
    </sheetView>
  </sheetViews>
  <sheetFormatPr baseColWidth="10" defaultRowHeight="15" x14ac:dyDescent="0.25"/>
  <cols>
    <col min="1" max="1" width="21.7109375" bestFit="1" customWidth="1"/>
    <col min="2" max="2" width="19.42578125" bestFit="1" customWidth="1"/>
    <col min="3" max="3" width="7.28515625" bestFit="1" customWidth="1"/>
  </cols>
  <sheetData>
    <row r="1" spans="1:3" ht="18.75" x14ac:dyDescent="0.3">
      <c r="A1" s="7" t="s">
        <v>146</v>
      </c>
      <c r="B1" s="23"/>
      <c r="C1" s="7"/>
    </row>
    <row r="2" spans="1:3" x14ac:dyDescent="0.25">
      <c r="A2" s="17" t="s">
        <v>150</v>
      </c>
      <c r="B2" s="14" t="s">
        <v>182</v>
      </c>
      <c r="C2" s="14" t="s">
        <v>8</v>
      </c>
    </row>
    <row r="3" spans="1:3" x14ac:dyDescent="0.25">
      <c r="A3" s="18">
        <v>1001</v>
      </c>
      <c r="B3" s="15" t="s">
        <v>17</v>
      </c>
      <c r="C3" s="15">
        <v>1</v>
      </c>
    </row>
    <row r="4" spans="1:3" x14ac:dyDescent="0.25">
      <c r="A4" s="20">
        <f>A3</f>
        <v>1001</v>
      </c>
      <c r="B4" s="16" t="s">
        <v>23</v>
      </c>
      <c r="C4" s="16">
        <v>1</v>
      </c>
    </row>
    <row r="5" spans="1:3" x14ac:dyDescent="0.25">
      <c r="A5" s="18">
        <v>1002</v>
      </c>
      <c r="B5" s="15" t="s">
        <v>17</v>
      </c>
      <c r="C5" s="15">
        <v>1</v>
      </c>
    </row>
    <row r="6" spans="1:3" x14ac:dyDescent="0.25">
      <c r="A6" s="20">
        <f>A5</f>
        <v>1002</v>
      </c>
      <c r="B6" s="16" t="s">
        <v>32</v>
      </c>
      <c r="C6" s="16">
        <v>2</v>
      </c>
    </row>
    <row r="7" spans="1:3" x14ac:dyDescent="0.25">
      <c r="A7" s="18">
        <v>1003</v>
      </c>
      <c r="B7" s="15" t="s">
        <v>32</v>
      </c>
      <c r="C7" s="15">
        <v>1</v>
      </c>
    </row>
    <row r="8" spans="1:3" x14ac:dyDescent="0.25">
      <c r="A8" s="20">
        <v>1004</v>
      </c>
      <c r="B8" s="16" t="s">
        <v>41</v>
      </c>
      <c r="C8" s="16">
        <v>1</v>
      </c>
    </row>
    <row r="9" spans="1:3" x14ac:dyDescent="0.25">
      <c r="A9" s="18">
        <f>A8</f>
        <v>1004</v>
      </c>
      <c r="B9" s="15" t="s">
        <v>47</v>
      </c>
      <c r="C9" s="15">
        <v>1</v>
      </c>
    </row>
    <row r="10" spans="1:3" x14ac:dyDescent="0.25">
      <c r="A10" s="20">
        <v>1005</v>
      </c>
      <c r="B10" s="16" t="s">
        <v>53</v>
      </c>
      <c r="C10" s="16">
        <v>2</v>
      </c>
    </row>
    <row r="11" spans="1:3" x14ac:dyDescent="0.25">
      <c r="A11" s="18">
        <v>1006</v>
      </c>
      <c r="B11" s="15" t="s">
        <v>23</v>
      </c>
      <c r="C11" s="15">
        <v>1</v>
      </c>
    </row>
    <row r="12" spans="1:3" x14ac:dyDescent="0.25">
      <c r="A12" s="20">
        <v>1007</v>
      </c>
      <c r="B12" s="16" t="s">
        <v>62</v>
      </c>
      <c r="C12" s="16">
        <v>1</v>
      </c>
    </row>
    <row r="13" spans="1:3" x14ac:dyDescent="0.25">
      <c r="A13" s="18">
        <f t="shared" ref="A13:A14" si="0">A12</f>
        <v>1007</v>
      </c>
      <c r="B13" s="15" t="s">
        <v>67</v>
      </c>
      <c r="C13" s="15">
        <v>3</v>
      </c>
    </row>
    <row r="14" spans="1:3" x14ac:dyDescent="0.25">
      <c r="A14" s="20">
        <f t="shared" si="0"/>
        <v>1007</v>
      </c>
      <c r="B14" s="16" t="s">
        <v>23</v>
      </c>
      <c r="C14" s="16">
        <v>1</v>
      </c>
    </row>
    <row r="15" spans="1:3" x14ac:dyDescent="0.25">
      <c r="A15" s="18">
        <v>1008</v>
      </c>
      <c r="B15" s="15" t="s">
        <v>53</v>
      </c>
      <c r="C15" s="15">
        <v>1</v>
      </c>
    </row>
    <row r="16" spans="1:3" x14ac:dyDescent="0.25">
      <c r="A16" s="20">
        <v>1009</v>
      </c>
      <c r="B16" s="16" t="s">
        <v>17</v>
      </c>
      <c r="C16" s="16">
        <v>1</v>
      </c>
    </row>
    <row r="17" spans="1:3" x14ac:dyDescent="0.25">
      <c r="A17" s="18">
        <v>1010</v>
      </c>
      <c r="B17" s="15" t="s">
        <v>76</v>
      </c>
      <c r="C17" s="15">
        <v>1</v>
      </c>
    </row>
    <row r="18" spans="1:3" x14ac:dyDescent="0.25">
      <c r="A18" s="20">
        <f>A17</f>
        <v>1010</v>
      </c>
      <c r="B18" s="16" t="s">
        <v>80</v>
      </c>
      <c r="C18" s="16">
        <v>1</v>
      </c>
    </row>
    <row r="19" spans="1:3" x14ac:dyDescent="0.25">
      <c r="A19" s="18">
        <v>1011</v>
      </c>
      <c r="B19" s="15" t="s">
        <v>41</v>
      </c>
      <c r="C19" s="15">
        <v>1</v>
      </c>
    </row>
    <row r="20" spans="1:3" x14ac:dyDescent="0.25">
      <c r="A20" s="20">
        <v>1012</v>
      </c>
      <c r="B20" s="16" t="s">
        <v>47</v>
      </c>
      <c r="C20" s="16">
        <v>1</v>
      </c>
    </row>
    <row r="21" spans="1:3" x14ac:dyDescent="0.25">
      <c r="A21" s="18">
        <v>1013</v>
      </c>
      <c r="B21" s="15" t="s">
        <v>80</v>
      </c>
      <c r="C21" s="15">
        <v>1</v>
      </c>
    </row>
    <row r="22" spans="1:3" x14ac:dyDescent="0.25">
      <c r="A22" s="20">
        <v>1014</v>
      </c>
      <c r="B22" s="16" t="s">
        <v>23</v>
      </c>
      <c r="C22" s="16">
        <v>2</v>
      </c>
    </row>
    <row r="23" spans="1:3" x14ac:dyDescent="0.25">
      <c r="A23" s="18">
        <f>A22</f>
        <v>1014</v>
      </c>
      <c r="B23" s="15" t="s">
        <v>76</v>
      </c>
      <c r="C23" s="15">
        <v>1</v>
      </c>
    </row>
    <row r="24" spans="1:3" x14ac:dyDescent="0.25">
      <c r="A24" s="20">
        <v>1015</v>
      </c>
      <c r="B24" s="16" t="s">
        <v>76</v>
      </c>
      <c r="C24" s="16">
        <v>1</v>
      </c>
    </row>
    <row r="25" spans="1:3" x14ac:dyDescent="0.25">
      <c r="A25" s="18">
        <v>1016</v>
      </c>
      <c r="B25" s="15" t="s">
        <v>103</v>
      </c>
      <c r="C25" s="15">
        <v>1</v>
      </c>
    </row>
    <row r="26" spans="1:3" x14ac:dyDescent="0.25">
      <c r="A26" s="20">
        <f>A25</f>
        <v>1016</v>
      </c>
      <c r="B26" s="16" t="s">
        <v>108</v>
      </c>
      <c r="C26" s="16">
        <v>1</v>
      </c>
    </row>
    <row r="27" spans="1:3" x14ac:dyDescent="0.25">
      <c r="A27" s="18">
        <v>1017</v>
      </c>
      <c r="B27" s="15" t="s">
        <v>17</v>
      </c>
      <c r="C27" s="15">
        <v>1</v>
      </c>
    </row>
    <row r="28" spans="1:3" x14ac:dyDescent="0.25">
      <c r="A28" s="20">
        <v>1018</v>
      </c>
      <c r="B28" s="16" t="s">
        <v>62</v>
      </c>
      <c r="C28" s="16">
        <v>1</v>
      </c>
    </row>
    <row r="29" spans="1:3" x14ac:dyDescent="0.25">
      <c r="A29" s="18">
        <f>A28</f>
        <v>1018</v>
      </c>
      <c r="B29" s="15" t="s">
        <v>67</v>
      </c>
      <c r="C29" s="15">
        <v>1</v>
      </c>
    </row>
    <row r="30" spans="1:3" x14ac:dyDescent="0.25">
      <c r="A30" s="20">
        <v>1019</v>
      </c>
      <c r="B30" s="16" t="s">
        <v>47</v>
      </c>
      <c r="C30" s="16">
        <v>1</v>
      </c>
    </row>
    <row r="31" spans="1:3" x14ac:dyDescent="0.25">
      <c r="A31" s="18">
        <v>1020</v>
      </c>
      <c r="B31" s="15" t="s">
        <v>32</v>
      </c>
      <c r="C31" s="15">
        <v>1</v>
      </c>
    </row>
    <row r="32" spans="1:3" x14ac:dyDescent="0.25">
      <c r="A32" s="20">
        <f t="shared" ref="A32:A33" si="1">A31</f>
        <v>1020</v>
      </c>
      <c r="B32" s="16" t="s">
        <v>76</v>
      </c>
      <c r="C32" s="16">
        <v>1</v>
      </c>
    </row>
    <row r="33" spans="1:3" x14ac:dyDescent="0.25">
      <c r="A33" s="18">
        <f t="shared" si="1"/>
        <v>1020</v>
      </c>
      <c r="B33" s="15" t="s">
        <v>23</v>
      </c>
      <c r="C33" s="15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1DA7-3B89-48A5-977A-9CF9C09F85D9}">
  <dimension ref="A1:B11"/>
  <sheetViews>
    <sheetView workbookViewId="0">
      <selection activeCell="F18" sqref="F18"/>
    </sheetView>
  </sheetViews>
  <sheetFormatPr baseColWidth="10" defaultRowHeight="15" x14ac:dyDescent="0.25"/>
  <cols>
    <col min="1" max="1" width="20.5703125" bestFit="1" customWidth="1"/>
    <col min="2" max="2" width="12.42578125" bestFit="1" customWidth="1"/>
  </cols>
  <sheetData>
    <row r="1" spans="1:2" x14ac:dyDescent="0.25">
      <c r="A1" s="6" t="s">
        <v>158</v>
      </c>
    </row>
    <row r="2" spans="1:2" x14ac:dyDescent="0.25">
      <c r="A2" s="24" t="s">
        <v>157</v>
      </c>
      <c r="B2" s="14" t="s">
        <v>156</v>
      </c>
    </row>
    <row r="3" spans="1:2" x14ac:dyDescent="0.25">
      <c r="A3" s="4" t="s">
        <v>120</v>
      </c>
      <c r="B3" s="15" t="s">
        <v>121</v>
      </c>
    </row>
    <row r="4" spans="1:2" x14ac:dyDescent="0.25">
      <c r="A4" s="4" t="s">
        <v>123</v>
      </c>
      <c r="B4" s="15" t="s">
        <v>121</v>
      </c>
    </row>
    <row r="5" spans="1:2" x14ac:dyDescent="0.25">
      <c r="A5" s="5" t="s">
        <v>125</v>
      </c>
      <c r="B5" s="16" t="s">
        <v>126</v>
      </c>
    </row>
    <row r="6" spans="1:2" x14ac:dyDescent="0.25">
      <c r="A6" s="5" t="s">
        <v>128</v>
      </c>
      <c r="B6" s="16" t="s">
        <v>129</v>
      </c>
    </row>
    <row r="7" spans="1:2" x14ac:dyDescent="0.25">
      <c r="A7" s="5" t="s">
        <v>131</v>
      </c>
      <c r="B7" s="16" t="s">
        <v>121</v>
      </c>
    </row>
    <row r="8" spans="1:2" x14ac:dyDescent="0.25">
      <c r="A8" s="4" t="s">
        <v>133</v>
      </c>
      <c r="B8" s="15" t="s">
        <v>121</v>
      </c>
    </row>
    <row r="9" spans="1:2" x14ac:dyDescent="0.25">
      <c r="A9" s="4" t="s">
        <v>135</v>
      </c>
      <c r="B9" s="15" t="s">
        <v>129</v>
      </c>
    </row>
    <row r="10" spans="1:2" x14ac:dyDescent="0.25">
      <c r="A10" s="5" t="s">
        <v>137</v>
      </c>
      <c r="B10" s="16" t="s">
        <v>126</v>
      </c>
    </row>
    <row r="11" spans="1:2" x14ac:dyDescent="0.25">
      <c r="A11" s="4" t="s">
        <v>139</v>
      </c>
      <c r="B11" s="15" t="s">
        <v>121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A8D3-E810-40F7-BD30-85F39F4860D0}">
  <dimension ref="A1:B14"/>
  <sheetViews>
    <sheetView workbookViewId="0">
      <selection activeCell="H29" sqref="H29"/>
    </sheetView>
  </sheetViews>
  <sheetFormatPr baseColWidth="10" defaultRowHeight="15" x14ac:dyDescent="0.25"/>
  <cols>
    <col min="1" max="1" width="14" bestFit="1" customWidth="1"/>
    <col min="2" max="2" width="14.7109375" bestFit="1" customWidth="1"/>
  </cols>
  <sheetData>
    <row r="1" spans="1:2" ht="18.75" x14ac:dyDescent="0.3">
      <c r="A1" s="7" t="s">
        <v>153</v>
      </c>
    </row>
    <row r="2" spans="1:2" x14ac:dyDescent="0.25">
      <c r="A2" s="3" t="s">
        <v>151</v>
      </c>
      <c r="B2" s="3" t="s">
        <v>11</v>
      </c>
    </row>
    <row r="3" spans="1:2" x14ac:dyDescent="0.25">
      <c r="A3" s="4" t="s">
        <v>20</v>
      </c>
      <c r="B3" s="4" t="s">
        <v>21</v>
      </c>
    </row>
    <row r="4" spans="1:2" x14ac:dyDescent="0.25">
      <c r="A4" s="5" t="s">
        <v>26</v>
      </c>
      <c r="B4" s="5" t="s">
        <v>27</v>
      </c>
    </row>
    <row r="5" spans="1:2" x14ac:dyDescent="0.25">
      <c r="A5" s="5" t="s">
        <v>35</v>
      </c>
      <c r="B5" s="5" t="s">
        <v>36</v>
      </c>
    </row>
    <row r="6" spans="1:2" x14ac:dyDescent="0.25">
      <c r="A6" s="5" t="s">
        <v>44</v>
      </c>
      <c r="B6" s="5" t="s">
        <v>45</v>
      </c>
    </row>
    <row r="7" spans="1:2" x14ac:dyDescent="0.25">
      <c r="A7" s="4" t="s">
        <v>44</v>
      </c>
      <c r="B7" s="4" t="s">
        <v>45</v>
      </c>
    </row>
    <row r="8" spans="1:2" x14ac:dyDescent="0.25">
      <c r="A8" s="5" t="s">
        <v>56</v>
      </c>
      <c r="B8" s="5" t="s">
        <v>21</v>
      </c>
    </row>
    <row r="9" spans="1:2" x14ac:dyDescent="0.25">
      <c r="A9" s="5" t="s">
        <v>65</v>
      </c>
      <c r="B9" s="5" t="s">
        <v>21</v>
      </c>
    </row>
    <row r="10" spans="1:2" x14ac:dyDescent="0.25">
      <c r="A10" s="4" t="s">
        <v>65</v>
      </c>
      <c r="B10" s="4" t="s">
        <v>21</v>
      </c>
    </row>
    <row r="11" spans="1:2" x14ac:dyDescent="0.25">
      <c r="A11" s="4" t="s">
        <v>26</v>
      </c>
      <c r="B11" s="4" t="s">
        <v>27</v>
      </c>
    </row>
    <row r="12" spans="1:2" x14ac:dyDescent="0.25">
      <c r="A12" s="5" t="s">
        <v>83</v>
      </c>
      <c r="B12" s="5" t="s">
        <v>84</v>
      </c>
    </row>
    <row r="13" spans="1:2" x14ac:dyDescent="0.25">
      <c r="A13" s="4" t="s">
        <v>106</v>
      </c>
      <c r="B13" s="4" t="s">
        <v>21</v>
      </c>
    </row>
    <row r="14" spans="1:2" x14ac:dyDescent="0.25">
      <c r="A14" s="5" t="s">
        <v>110</v>
      </c>
      <c r="B14" s="5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UF</vt:lpstr>
      <vt:lpstr>1NF</vt:lpstr>
      <vt:lpstr>2NF</vt:lpstr>
      <vt:lpstr>3NF</vt:lpstr>
      <vt:lpstr>Kunden</vt:lpstr>
      <vt:lpstr>Produkte</vt:lpstr>
      <vt:lpstr>Bestellungen</vt:lpstr>
      <vt:lpstr>Bestellpositionen</vt:lpstr>
      <vt:lpstr>Städte</vt:lpstr>
      <vt:lpstr>Hersteller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Kedir Biruh</dc:creator>
  <cp:lastModifiedBy>Kedir Biruh</cp:lastModifiedBy>
  <dcterms:created xsi:type="dcterms:W3CDTF">2025-09-04T08:38:05Z</dcterms:created>
  <dcterms:modified xsi:type="dcterms:W3CDTF">2025-11-17T13:10:03Z</dcterms:modified>
</cp:coreProperties>
</file>